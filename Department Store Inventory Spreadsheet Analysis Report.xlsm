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eaglesewu-my.sharepoint.com/personal/eglushchenko_eagles_ewu_edu/Documents/EWU/Portfolio/DSCI/GitHub/"/>
    </mc:Choice>
  </mc:AlternateContent>
  <xr:revisionPtr revIDLastSave="0" documentId="8_{BD1652D9-20BD-436D-B57C-8CA2EBB0EC1A}" xr6:coauthVersionLast="47" xr6:coauthVersionMax="47" xr10:uidLastSave="{00000000-0000-0000-0000-000000000000}"/>
  <bookViews>
    <workbookView xWindow="28680" yWindow="-1560" windowWidth="29040" windowHeight="15840" xr2:uid="{31C977F0-55D3-445A-B167-F3E3B2CFD560}"/>
  </bookViews>
  <sheets>
    <sheet name="10.36" sheetId="4" r:id="rId1"/>
  </sheets>
  <definedNames>
    <definedName name="Pal_Workbook_GUID" hidden="1">"7P4I7E7ERBGBGDNCFLMJYUMU"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5" i="4" l="1"/>
  <c r="C24" i="4"/>
  <c r="D23" i="4"/>
  <c r="B21" i="4"/>
  <c r="B20" i="4"/>
  <c r="B19" i="4"/>
  <c r="B18" i="4"/>
  <c r="B17" i="4"/>
  <c r="D16" i="4"/>
  <c r="D18" i="4" s="1"/>
  <c r="E16" i="4" l="1"/>
  <c r="G16" i="4" s="1"/>
  <c r="D21" i="4"/>
  <c r="D19" i="4"/>
  <c r="D17" i="4"/>
  <c r="E23" i="4"/>
  <c r="F23" i="4" s="1"/>
  <c r="D20" i="4"/>
  <c r="F16" i="4" l="1"/>
  <c r="F17" i="4"/>
  <c r="E17" i="4"/>
  <c r="G17" i="4" s="1"/>
  <c r="E18" i="4" l="1"/>
  <c r="G18" i="4" s="1"/>
  <c r="F18" i="4" l="1"/>
  <c r="E19" i="4" l="1"/>
  <c r="G19" i="4" s="1"/>
  <c r="F19" i="4" l="1"/>
  <c r="E20" i="4" l="1"/>
  <c r="G20" i="4" s="1"/>
  <c r="F20" i="4" l="1"/>
  <c r="E21" i="4" l="1"/>
  <c r="G21" i="4" s="1"/>
  <c r="H16" i="4" s="1"/>
  <c r="A30" i="4" s="1"/>
  <c r="F21" i="4" l="1"/>
</calcChain>
</file>

<file path=xl/sharedStrings.xml><?xml version="1.0" encoding="utf-8"?>
<sst xmlns="http://schemas.openxmlformats.org/spreadsheetml/2006/main" count="30" uniqueCount="22">
  <si>
    <t>Order quantity</t>
  </si>
  <si>
    <t>Unit cost</t>
  </si>
  <si>
    <t>Retail Sales Price</t>
  </si>
  <si>
    <t>Demand</t>
  </si>
  <si>
    <t>Ordered</t>
  </si>
  <si>
    <t>Profit</t>
  </si>
  <si>
    <t>0 to 1499</t>
  </si>
  <si>
    <t>1500 to 3499</t>
  </si>
  <si>
    <t>3500 to 5999</t>
  </si>
  <si>
    <t>6000 or more</t>
  </si>
  <si>
    <t>Discount</t>
  </si>
  <si>
    <t>Demand Mean</t>
  </si>
  <si>
    <t>Demand St Dev</t>
  </si>
  <si>
    <t>Demand Cost</t>
  </si>
  <si>
    <t>Sold</t>
  </si>
  <si>
    <t>Over</t>
  </si>
  <si>
    <t>Revenue</t>
  </si>
  <si>
    <t>Revenue Total</t>
  </si>
  <si>
    <t>Cost</t>
  </si>
  <si>
    <t>MIN</t>
  </si>
  <si>
    <t>MAX</t>
  </si>
  <si>
    <t>UNITS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</si>
</sst>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9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8" fontId="0" fillId="0" borderId="0" xfId="0" applyNumberFormat="1"/>
    <xf numFmtId="44" fontId="0" fillId="0" borderId="0" xfId="1" applyFont="1"/>
    <xf numFmtId="7" fontId="0" fillId="0" borderId="0" xfId="0" applyNumberFormat="1"/>
    <xf numFmtId="44" fontId="0" fillId="0" borderId="0" xfId="0" applyNumberFormat="1"/>
    <xf numFmtId="44" fontId="0" fillId="2" borderId="0" xfId="0" applyNumberFormat="1" applyFill="1"/>
    <xf numFmtId="44" fontId="0" fillId="2" borderId="0" xfId="1" applyFont="1" applyFill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0</xdr:row>
      <xdr:rowOff>0</xdr:rowOff>
    </xdr:from>
    <xdr:to>
      <xdr:col>19</xdr:col>
      <xdr:colOff>361950</xdr:colOff>
      <xdr:row>17</xdr:row>
      <xdr:rowOff>20883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26B84D1-B179-43A0-9517-4C007AB145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67900" y="0"/>
          <a:ext cx="4625340" cy="3084123"/>
        </a:xfrm>
        <a:prstGeom prst="rect">
          <a:avLst/>
        </a:prstGeom>
      </xdr:spPr>
    </xdr:pic>
    <xdr:clientData/>
  </xdr:twoCellAnchor>
  <xdr:twoCellAnchor editAs="oneCell">
    <xdr:from>
      <xdr:col>12</xdr:col>
      <xdr:colOff>8452</xdr:colOff>
      <xdr:row>17</xdr:row>
      <xdr:rowOff>9525</xdr:rowOff>
    </xdr:from>
    <xdr:to>
      <xdr:col>19</xdr:col>
      <xdr:colOff>361949</xdr:colOff>
      <xdr:row>34</xdr:row>
      <xdr:rowOff>15240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4AC9766-D174-4D5A-9317-44BA6C2B99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878257" y="3088005"/>
          <a:ext cx="4622602" cy="3084195"/>
        </a:xfrm>
        <a:prstGeom prst="rect">
          <a:avLst/>
        </a:prstGeom>
      </xdr:spPr>
    </xdr:pic>
    <xdr:clientData/>
  </xdr:twoCellAnchor>
  <xdr:twoCellAnchor>
    <xdr:from>
      <xdr:col>0</xdr:col>
      <xdr:colOff>257175</xdr:colOff>
      <xdr:row>30</xdr:row>
      <xdr:rowOff>57150</xdr:rowOff>
    </xdr:from>
    <xdr:to>
      <xdr:col>8</xdr:col>
      <xdr:colOff>514350</xdr:colOff>
      <xdr:row>39</xdr:row>
      <xdr:rowOff>19050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61495148-7198-47CD-944F-4849E2FE8712}"/>
            </a:ext>
          </a:extLst>
        </xdr:cNvPr>
        <xdr:cNvSpPr txBox="1"/>
      </xdr:nvSpPr>
      <xdr:spPr>
        <a:xfrm>
          <a:off x="255270" y="5482590"/>
          <a:ext cx="7513320" cy="1590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/>
            <a:t>Dilbert’s Department Store is trying to determine how many Hanson T-shirts to order. Currently the shirts are sold for $21, but at later dates the shirts will be offered at a 10% discount, then a 20% discount, then a 40% discount, then a 50% discount, and finally a 60% discount. Demand at the full price of $21 is believed to be normally distributed with mean 1800 and standard deviation 360. Demand at various discounts is assumed to be a multiple of full-price demand. These multiples, for discounts of 10%, 20%, 40%, 50%, and 60% are, respectively, 0.4, 0.7, 1.1, 2, and 50. For example, if full-price demand is 2500, then at a 10% discount customers would be willing to buy 1000 T-shirts. The unit cost of purchasing T-shirts depends on the number of T-shirts ordered, as shown in the file P10_36.xlsx. Use simulation to determine how many T-shirts the company should order. Model the problem so that the company first orders some quantity of T-shirts, then discounts deeper and deeper, as necessary, to sell all of the shirts.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14F12-DAC6-411B-BB8F-F139C40DBD6F}">
  <sheetPr codeName="Sheet2"/>
  <dimension ref="A1:L1001"/>
  <sheetViews>
    <sheetView tabSelected="1" workbookViewId="0">
      <selection activeCell="H28" sqref="H28"/>
    </sheetView>
  </sheetViews>
  <sheetFormatPr defaultRowHeight="14.4" x14ac:dyDescent="0.3"/>
  <cols>
    <col min="1" max="1" width="13.44140625" bestFit="1" customWidth="1"/>
    <col min="2" max="2" width="16.6640625" bestFit="1" customWidth="1"/>
    <col min="3" max="3" width="14.6640625" bestFit="1" customWidth="1"/>
    <col min="4" max="4" width="14" bestFit="1" customWidth="1"/>
    <col min="5" max="5" width="10.109375" bestFit="1" customWidth="1"/>
    <col min="6" max="6" width="11.88671875" customWidth="1"/>
    <col min="7" max="7" width="11.33203125" bestFit="1" customWidth="1"/>
    <col min="8" max="8" width="13.44140625" bestFit="1" customWidth="1"/>
    <col min="12" max="12" width="11.33203125" bestFit="1" customWidth="1"/>
  </cols>
  <sheetData>
    <row r="1" spans="1:12" x14ac:dyDescent="0.3">
      <c r="A1" s="1" t="s">
        <v>0</v>
      </c>
      <c r="B1" s="1" t="s">
        <v>1</v>
      </c>
      <c r="C1" s="2" t="s">
        <v>2</v>
      </c>
      <c r="J1" s="1" t="s">
        <v>3</v>
      </c>
      <c r="K1" s="1" t="s">
        <v>4</v>
      </c>
      <c r="L1" s="1" t="s">
        <v>5</v>
      </c>
    </row>
    <row r="2" spans="1:12" x14ac:dyDescent="0.3">
      <c r="A2" t="s">
        <v>6</v>
      </c>
      <c r="B2" s="3">
        <v>15</v>
      </c>
      <c r="C2" s="4">
        <v>21</v>
      </c>
      <c r="J2">
        <v>2032.019325441556</v>
      </c>
      <c r="K2">
        <v>2250</v>
      </c>
      <c r="L2" s="5">
        <v>4736.6499999999996</v>
      </c>
    </row>
    <row r="3" spans="1:12" x14ac:dyDescent="0.3">
      <c r="A3" t="s">
        <v>7</v>
      </c>
      <c r="B3" s="3">
        <v>14.25</v>
      </c>
      <c r="J3">
        <v>1398.9830793345311</v>
      </c>
      <c r="K3">
        <v>9500</v>
      </c>
      <c r="L3" s="5">
        <v>1697.97</v>
      </c>
    </row>
    <row r="4" spans="1:12" x14ac:dyDescent="0.3">
      <c r="A4" t="s">
        <v>8</v>
      </c>
      <c r="B4" s="3">
        <v>13.54</v>
      </c>
      <c r="J4">
        <v>2077.9495371273692</v>
      </c>
      <c r="K4">
        <v>7000</v>
      </c>
      <c r="L4" s="5">
        <v>26244.2</v>
      </c>
    </row>
    <row r="5" spans="1:12" x14ac:dyDescent="0.3">
      <c r="A5" t="s">
        <v>9</v>
      </c>
      <c r="B5" s="3">
        <v>12.86</v>
      </c>
      <c r="J5">
        <v>1540.9921847402607</v>
      </c>
      <c r="K5">
        <v>8750</v>
      </c>
      <c r="L5" s="5">
        <v>9516.25</v>
      </c>
    </row>
    <row r="6" spans="1:12" x14ac:dyDescent="0.3">
      <c r="J6">
        <v>2010.0748936040111</v>
      </c>
      <c r="K6">
        <v>5750</v>
      </c>
      <c r="L6" s="5">
        <v>22454.639999999999</v>
      </c>
    </row>
    <row r="7" spans="1:12" x14ac:dyDescent="0.3">
      <c r="A7" s="1" t="s">
        <v>10</v>
      </c>
      <c r="B7" s="1" t="s">
        <v>3</v>
      </c>
      <c r="C7" s="1" t="s">
        <v>11</v>
      </c>
      <c r="D7" s="1" t="s">
        <v>12</v>
      </c>
      <c r="J7">
        <v>1781.3896772793601</v>
      </c>
      <c r="K7">
        <v>5250</v>
      </c>
      <c r="L7" s="5">
        <v>19755.060000000001</v>
      </c>
    </row>
    <row r="8" spans="1:12" x14ac:dyDescent="0.3">
      <c r="A8">
        <v>0.1</v>
      </c>
      <c r="B8">
        <v>0.4</v>
      </c>
      <c r="C8">
        <v>1800</v>
      </c>
      <c r="D8">
        <v>360</v>
      </c>
      <c r="J8">
        <v>2644.6081873561498</v>
      </c>
      <c r="K8">
        <v>1500</v>
      </c>
      <c r="L8" s="5">
        <v>-7646.77</v>
      </c>
    </row>
    <row r="9" spans="1:12" x14ac:dyDescent="0.3">
      <c r="A9">
        <v>0.2</v>
      </c>
      <c r="B9">
        <v>0.7</v>
      </c>
      <c r="J9">
        <v>1656.9937463335307</v>
      </c>
      <c r="K9">
        <v>8500</v>
      </c>
      <c r="L9" s="5">
        <v>14040.93</v>
      </c>
    </row>
    <row r="10" spans="1:12" x14ac:dyDescent="0.3">
      <c r="A10">
        <v>0.4</v>
      </c>
      <c r="B10">
        <v>1.1000000000000001</v>
      </c>
      <c r="J10">
        <v>2663.1353584362973</v>
      </c>
      <c r="K10">
        <v>8750</v>
      </c>
      <c r="L10" s="5">
        <v>34157.33</v>
      </c>
    </row>
    <row r="11" spans="1:12" x14ac:dyDescent="0.3">
      <c r="A11">
        <v>0.5</v>
      </c>
      <c r="B11">
        <v>2</v>
      </c>
      <c r="J11">
        <v>1521.4678413329182</v>
      </c>
      <c r="K11">
        <v>8250</v>
      </c>
      <c r="L11" s="5">
        <v>11131.24</v>
      </c>
    </row>
    <row r="12" spans="1:12" x14ac:dyDescent="0.3">
      <c r="A12">
        <v>0.6</v>
      </c>
      <c r="B12">
        <v>50</v>
      </c>
      <c r="J12">
        <v>2199.5259231016316</v>
      </c>
      <c r="K12">
        <v>8250</v>
      </c>
      <c r="L12" s="5">
        <v>25796.240000000002</v>
      </c>
    </row>
    <row r="13" spans="1:12" x14ac:dyDescent="0.3">
      <c r="J13">
        <v>1763.7657772308792</v>
      </c>
      <c r="K13">
        <v>8750</v>
      </c>
      <c r="L13" s="5">
        <v>15648.3</v>
      </c>
    </row>
    <row r="14" spans="1:12" x14ac:dyDescent="0.3">
      <c r="J14">
        <v>1938.1434669720607</v>
      </c>
      <c r="K14">
        <v>4000</v>
      </c>
      <c r="L14" s="5">
        <v>22808.240000000002</v>
      </c>
    </row>
    <row r="15" spans="1:12" x14ac:dyDescent="0.3">
      <c r="B15" s="2" t="s">
        <v>2</v>
      </c>
      <c r="C15" s="1" t="s">
        <v>3</v>
      </c>
      <c r="D15" s="1" t="s">
        <v>13</v>
      </c>
      <c r="E15" s="1" t="s">
        <v>14</v>
      </c>
      <c r="F15" s="1" t="s">
        <v>15</v>
      </c>
      <c r="G15" s="1" t="s">
        <v>16</v>
      </c>
      <c r="H15" s="1" t="s">
        <v>17</v>
      </c>
      <c r="J15">
        <v>2001.5403583795655</v>
      </c>
      <c r="K15">
        <v>7250</v>
      </c>
      <c r="L15" s="5">
        <v>24081.7</v>
      </c>
    </row>
    <row r="16" spans="1:12" x14ac:dyDescent="0.3">
      <c r="A16" s="1" t="s">
        <v>10</v>
      </c>
      <c r="B16" s="4">
        <v>21</v>
      </c>
      <c r="C16">
        <v>1</v>
      </c>
      <c r="D16">
        <f ca="1">_xlfn.NORM.INV(RAND(),$C$8,$D$8)</f>
        <v>1362.7926497349069</v>
      </c>
      <c r="E16">
        <f ca="1">MIN(D16,D23)</f>
        <v>1362.7926497349069</v>
      </c>
      <c r="F16">
        <f ca="1">D23-E16</f>
        <v>6137.2073502650928</v>
      </c>
      <c r="G16" s="6">
        <f ca="1">B16*E16</f>
        <v>28618.645644433047</v>
      </c>
      <c r="H16" s="7">
        <f ca="1">SUM(G16:G21)</f>
        <v>105927.96846664959</v>
      </c>
      <c r="J16">
        <v>2247.5796534090123</v>
      </c>
      <c r="K16">
        <v>7250</v>
      </c>
      <c r="L16" s="5">
        <v>29145.19</v>
      </c>
    </row>
    <row r="17" spans="1:12" x14ac:dyDescent="0.3">
      <c r="A17">
        <v>0.1</v>
      </c>
      <c r="B17" s="6">
        <f>(1-A17)*$B$16</f>
        <v>18.900000000000002</v>
      </c>
      <c r="C17">
        <v>0.4</v>
      </c>
      <c r="D17">
        <f ca="1">$D$16*C17</f>
        <v>545.11705989396285</v>
      </c>
      <c r="E17">
        <f ca="1">MIN(F16,D17)</f>
        <v>545.11705989396285</v>
      </c>
      <c r="F17">
        <f ca="1">F16-D17</f>
        <v>5592.0902903711303</v>
      </c>
      <c r="G17" s="6">
        <f t="shared" ref="G17:G21" ca="1" si="0">B17*E17</f>
        <v>10302.712431995898</v>
      </c>
      <c r="J17">
        <v>1641.3078195820858</v>
      </c>
      <c r="K17">
        <v>2250</v>
      </c>
      <c r="L17" s="5">
        <v>13105.69</v>
      </c>
    </row>
    <row r="18" spans="1:12" x14ac:dyDescent="0.3">
      <c r="A18">
        <v>0.2</v>
      </c>
      <c r="B18" s="6">
        <f t="shared" ref="B18:B21" si="1">(1-A18)*$B$16</f>
        <v>16.8</v>
      </c>
      <c r="C18">
        <v>0.7</v>
      </c>
      <c r="D18">
        <f t="shared" ref="D18:D21" ca="1" si="2">$D$16*C18</f>
        <v>953.95485481443484</v>
      </c>
      <c r="E18">
        <f ca="1">MIN(F17,D18)</f>
        <v>953.95485481443484</v>
      </c>
      <c r="F18">
        <f ca="1">F17-E18</f>
        <v>4638.1354355566955</v>
      </c>
      <c r="G18" s="6">
        <f t="shared" ca="1" si="0"/>
        <v>16026.441560882506</v>
      </c>
      <c r="J18">
        <v>1472.9148175032765</v>
      </c>
      <c r="K18">
        <v>2250</v>
      </c>
      <c r="L18" s="5">
        <v>13160.99</v>
      </c>
    </row>
    <row r="19" spans="1:12" x14ac:dyDescent="0.3">
      <c r="A19">
        <v>0.4</v>
      </c>
      <c r="B19" s="6">
        <f t="shared" si="1"/>
        <v>12.6</v>
      </c>
      <c r="C19">
        <v>1.1000000000000001</v>
      </c>
      <c r="D19">
        <f t="shared" ca="1" si="2"/>
        <v>1499.0719147083978</v>
      </c>
      <c r="E19">
        <f ca="1">MIN(F18,D19)</f>
        <v>1499.0719147083978</v>
      </c>
      <c r="F19">
        <f ca="1">F18-E19</f>
        <v>3139.0635208482977</v>
      </c>
      <c r="G19" s="6">
        <f t="shared" ca="1" si="0"/>
        <v>18888.306125325813</v>
      </c>
      <c r="J19">
        <v>2307.8193305815043</v>
      </c>
      <c r="K19">
        <v>8500</v>
      </c>
      <c r="L19" s="5">
        <v>27434.92</v>
      </c>
    </row>
    <row r="20" spans="1:12" x14ac:dyDescent="0.3">
      <c r="A20">
        <v>0.5</v>
      </c>
      <c r="B20" s="6">
        <f t="shared" si="1"/>
        <v>10.5</v>
      </c>
      <c r="C20">
        <v>2</v>
      </c>
      <c r="D20">
        <f t="shared" ca="1" si="2"/>
        <v>2725.5852994698139</v>
      </c>
      <c r="E20">
        <f ca="1">MIN(F19,D20)</f>
        <v>2725.5852994698139</v>
      </c>
      <c r="F20">
        <f ca="1">F19-E20</f>
        <v>413.47822137848379</v>
      </c>
      <c r="G20" s="6">
        <f t="shared" ca="1" si="0"/>
        <v>28618.645644433047</v>
      </c>
      <c r="J20">
        <v>1156.2376086101531</v>
      </c>
      <c r="K20">
        <v>6750</v>
      </c>
      <c r="L20" s="5">
        <v>6316.48</v>
      </c>
    </row>
    <row r="21" spans="1:12" x14ac:dyDescent="0.3">
      <c r="A21">
        <v>0.6</v>
      </c>
      <c r="B21" s="6">
        <f t="shared" si="1"/>
        <v>8.4</v>
      </c>
      <c r="C21">
        <v>50</v>
      </c>
      <c r="D21">
        <f t="shared" ca="1" si="2"/>
        <v>68139.632486745351</v>
      </c>
      <c r="E21">
        <f ca="1">MIN(F20,D21)</f>
        <v>413.47822137848379</v>
      </c>
      <c r="F21">
        <f ca="1">F20-E21</f>
        <v>0</v>
      </c>
      <c r="G21" s="6">
        <f t="shared" ca="1" si="0"/>
        <v>3473.2170595792641</v>
      </c>
      <c r="J21">
        <v>1648.5189215712089</v>
      </c>
      <c r="K21">
        <v>1500</v>
      </c>
      <c r="L21" s="5">
        <v>-953.05</v>
      </c>
    </row>
    <row r="22" spans="1:12" x14ac:dyDescent="0.3">
      <c r="F22" s="1" t="s">
        <v>18</v>
      </c>
      <c r="J22">
        <v>1783.6393589795043</v>
      </c>
      <c r="K22">
        <v>8500</v>
      </c>
      <c r="L22" s="5">
        <v>16647.3</v>
      </c>
    </row>
    <row r="23" spans="1:12" x14ac:dyDescent="0.3">
      <c r="C23" s="1" t="s">
        <v>4</v>
      </c>
      <c r="D23">
        <f ca="1">RANDBETWEEN(B24,B25)*B26</f>
        <v>7500</v>
      </c>
      <c r="E23">
        <f ca="1">VLOOKUP(D23,D25:E28,2)</f>
        <v>12.86</v>
      </c>
      <c r="F23" s="8">
        <f ca="1">D23*E23</f>
        <v>96450</v>
      </c>
      <c r="J23">
        <v>2239.2748396258653</v>
      </c>
      <c r="K23">
        <v>7500</v>
      </c>
      <c r="L23" s="5">
        <v>28384.28</v>
      </c>
    </row>
    <row r="24" spans="1:12" x14ac:dyDescent="0.3">
      <c r="A24" t="s">
        <v>19</v>
      </c>
      <c r="B24">
        <v>5</v>
      </c>
      <c r="C24">
        <f>B24*B26</f>
        <v>1250</v>
      </c>
      <c r="D24" s="1" t="s">
        <v>0</v>
      </c>
      <c r="E24" s="1" t="s">
        <v>1</v>
      </c>
      <c r="J24">
        <v>1693.5943714085299</v>
      </c>
      <c r="K24">
        <v>3250</v>
      </c>
      <c r="L24" s="5">
        <v>16823.22</v>
      </c>
    </row>
    <row r="25" spans="1:12" x14ac:dyDescent="0.3">
      <c r="A25" t="s">
        <v>20</v>
      </c>
      <c r="B25">
        <v>40</v>
      </c>
      <c r="C25">
        <f>B25*B26</f>
        <v>10000</v>
      </c>
      <c r="D25">
        <v>0</v>
      </c>
      <c r="E25" s="3">
        <v>15</v>
      </c>
      <c r="J25">
        <v>2161.2022527715944</v>
      </c>
      <c r="K25">
        <v>1750</v>
      </c>
      <c r="L25" s="5">
        <v>-2710.78</v>
      </c>
    </row>
    <row r="26" spans="1:12" x14ac:dyDescent="0.3">
      <c r="A26" t="s">
        <v>21</v>
      </c>
      <c r="B26">
        <v>250</v>
      </c>
      <c r="D26">
        <v>1500</v>
      </c>
      <c r="E26" s="3">
        <v>14.25</v>
      </c>
      <c r="J26">
        <v>1919.6654406240664</v>
      </c>
      <c r="K26">
        <v>6750</v>
      </c>
      <c r="L26" s="5">
        <v>23576.71</v>
      </c>
    </row>
    <row r="27" spans="1:12" x14ac:dyDescent="0.3">
      <c r="D27">
        <v>3500</v>
      </c>
      <c r="E27" s="3">
        <v>13.54</v>
      </c>
      <c r="J27">
        <v>1793.716028128784</v>
      </c>
      <c r="K27">
        <v>9250</v>
      </c>
      <c r="L27" s="5">
        <v>15084.68</v>
      </c>
    </row>
    <row r="28" spans="1:12" x14ac:dyDescent="0.3">
      <c r="D28">
        <v>6000</v>
      </c>
      <c r="E28" s="3">
        <v>12.86</v>
      </c>
      <c r="J28">
        <v>1813.5305127331833</v>
      </c>
      <c r="K28">
        <v>3000</v>
      </c>
      <c r="L28" s="5">
        <v>16790.189999999999</v>
      </c>
    </row>
    <row r="29" spans="1:12" x14ac:dyDescent="0.3">
      <c r="A29" s="2" t="s">
        <v>5</v>
      </c>
      <c r="J29">
        <v>1776.5505032451538</v>
      </c>
      <c r="K29">
        <v>8500</v>
      </c>
      <c r="L29" s="5">
        <v>16501.41</v>
      </c>
    </row>
    <row r="30" spans="1:12" x14ac:dyDescent="0.3">
      <c r="A30" s="7">
        <f ca="1">H16-F23</f>
        <v>9477.9684666495887</v>
      </c>
      <c r="J30">
        <v>1593.2683988690221</v>
      </c>
      <c r="K30">
        <v>7250</v>
      </c>
      <c r="L30" s="5">
        <v>15679.46</v>
      </c>
    </row>
    <row r="31" spans="1:12" x14ac:dyDescent="0.3">
      <c r="J31">
        <v>1789.8325365415249</v>
      </c>
      <c r="K31">
        <v>8000</v>
      </c>
      <c r="L31" s="5">
        <v>17954.75</v>
      </c>
    </row>
    <row r="32" spans="1:12" x14ac:dyDescent="0.3">
      <c r="J32">
        <v>1696.5865536569052</v>
      </c>
      <c r="K32">
        <v>8750</v>
      </c>
      <c r="L32" s="5">
        <v>14265.75</v>
      </c>
    </row>
    <row r="33" spans="10:12" x14ac:dyDescent="0.3">
      <c r="J33">
        <v>1744.035066217273</v>
      </c>
      <c r="K33">
        <v>1250</v>
      </c>
      <c r="L33" s="5">
        <v>-4219.92</v>
      </c>
    </row>
    <row r="34" spans="10:12" x14ac:dyDescent="0.3">
      <c r="J34">
        <v>1469.6757981618955</v>
      </c>
      <c r="K34">
        <v>6750</v>
      </c>
      <c r="L34" s="5">
        <v>14315.93</v>
      </c>
    </row>
    <row r="35" spans="10:12" x14ac:dyDescent="0.3">
      <c r="J35">
        <v>2175.3086932597062</v>
      </c>
      <c r="K35">
        <v>1500</v>
      </c>
      <c r="L35" s="5">
        <v>-4493.07</v>
      </c>
    </row>
    <row r="36" spans="10:12" x14ac:dyDescent="0.3">
      <c r="J36">
        <v>1493.2490082147231</v>
      </c>
      <c r="K36">
        <v>7750</v>
      </c>
      <c r="L36" s="5">
        <v>12441.06</v>
      </c>
    </row>
    <row r="37" spans="10:12" x14ac:dyDescent="0.3">
      <c r="J37">
        <v>2200.8173685057554</v>
      </c>
      <c r="K37">
        <v>8000</v>
      </c>
      <c r="L37" s="5">
        <v>26412.82</v>
      </c>
    </row>
    <row r="38" spans="10:12" x14ac:dyDescent="0.3">
      <c r="J38">
        <v>2743.7226605756523</v>
      </c>
      <c r="K38">
        <v>9000</v>
      </c>
      <c r="L38" s="5">
        <v>35225.81</v>
      </c>
    </row>
    <row r="39" spans="10:12" x14ac:dyDescent="0.3">
      <c r="J39">
        <v>1479.1991445008716</v>
      </c>
      <c r="K39">
        <v>2250</v>
      </c>
      <c r="L39" s="5">
        <v>13192.66</v>
      </c>
    </row>
    <row r="40" spans="10:12" x14ac:dyDescent="0.3">
      <c r="J40">
        <v>1589.3435446833953</v>
      </c>
      <c r="K40">
        <v>1500</v>
      </c>
      <c r="L40" s="5">
        <v>-555.39</v>
      </c>
    </row>
    <row r="41" spans="10:12" x14ac:dyDescent="0.3">
      <c r="J41">
        <v>2153.5012077132815</v>
      </c>
      <c r="K41">
        <v>8000</v>
      </c>
      <c r="L41" s="5">
        <v>25439.05</v>
      </c>
    </row>
    <row r="42" spans="10:12" x14ac:dyDescent="0.3">
      <c r="J42">
        <v>1987.2483641418055</v>
      </c>
      <c r="K42">
        <v>6500</v>
      </c>
      <c r="L42" s="5">
        <v>25557.57</v>
      </c>
    </row>
    <row r="43" spans="10:12" x14ac:dyDescent="0.3">
      <c r="J43">
        <v>1526.9201085160612</v>
      </c>
      <c r="K43">
        <v>9000</v>
      </c>
      <c r="L43" s="5">
        <v>7957.98</v>
      </c>
    </row>
    <row r="44" spans="10:12" x14ac:dyDescent="0.3">
      <c r="J44">
        <v>1492.3324159392637</v>
      </c>
      <c r="K44">
        <v>9250</v>
      </c>
      <c r="L44" s="5">
        <v>5753.47</v>
      </c>
    </row>
    <row r="45" spans="10:12" x14ac:dyDescent="0.3">
      <c r="J45">
        <v>2054.809305292732</v>
      </c>
      <c r="K45">
        <v>9250</v>
      </c>
      <c r="L45" s="5">
        <v>20457.98</v>
      </c>
    </row>
    <row r="46" spans="10:12" x14ac:dyDescent="0.3">
      <c r="J46">
        <v>2156.4090190075131</v>
      </c>
      <c r="K46">
        <v>2000</v>
      </c>
      <c r="L46" s="5">
        <v>-991.07</v>
      </c>
    </row>
    <row r="47" spans="10:12" x14ac:dyDescent="0.3">
      <c r="J47">
        <v>1374.3875729004153</v>
      </c>
      <c r="K47">
        <v>8750</v>
      </c>
      <c r="L47" s="5">
        <v>4268.21</v>
      </c>
    </row>
    <row r="48" spans="10:12" x14ac:dyDescent="0.3">
      <c r="J48">
        <v>1708.0689929333412</v>
      </c>
      <c r="K48">
        <v>7250</v>
      </c>
      <c r="L48" s="5">
        <v>18042.060000000001</v>
      </c>
    </row>
    <row r="49" spans="10:12" x14ac:dyDescent="0.3">
      <c r="J49">
        <v>1671.2275991170957</v>
      </c>
      <c r="K49">
        <v>4750</v>
      </c>
      <c r="L49" s="5">
        <v>18698.21</v>
      </c>
    </row>
    <row r="50" spans="10:12" x14ac:dyDescent="0.3">
      <c r="J50">
        <v>1522.9270434983716</v>
      </c>
      <c r="K50">
        <v>4750</v>
      </c>
      <c r="L50" s="5">
        <v>16642.77</v>
      </c>
    </row>
    <row r="51" spans="10:12" x14ac:dyDescent="0.3">
      <c r="J51">
        <v>1586.2050290644067</v>
      </c>
      <c r="K51">
        <v>6000</v>
      </c>
      <c r="L51" s="5">
        <v>18484.099999999999</v>
      </c>
    </row>
    <row r="52" spans="10:12" x14ac:dyDescent="0.3">
      <c r="J52">
        <v>2118.9504765241018</v>
      </c>
      <c r="K52">
        <v>2000</v>
      </c>
      <c r="L52" s="5">
        <v>-739.35</v>
      </c>
    </row>
    <row r="53" spans="10:12" x14ac:dyDescent="0.3">
      <c r="J53">
        <v>2278.5082080354714</v>
      </c>
      <c r="K53">
        <v>7500</v>
      </c>
      <c r="L53" s="5">
        <v>29191.7</v>
      </c>
    </row>
    <row r="54" spans="10:12" x14ac:dyDescent="0.3">
      <c r="J54">
        <v>1706.5683844617167</v>
      </c>
      <c r="K54">
        <v>7500</v>
      </c>
      <c r="L54" s="5">
        <v>17421.18</v>
      </c>
    </row>
    <row r="55" spans="10:12" x14ac:dyDescent="0.3">
      <c r="J55">
        <v>1853.5456210021284</v>
      </c>
      <c r="K55">
        <v>1250</v>
      </c>
      <c r="L55" s="5">
        <v>-4955.83</v>
      </c>
    </row>
    <row r="56" spans="10:12" x14ac:dyDescent="0.3">
      <c r="J56">
        <v>1980.9045892748304</v>
      </c>
      <c r="K56">
        <v>3250</v>
      </c>
      <c r="L56" s="5">
        <v>18271.259999999998</v>
      </c>
    </row>
    <row r="57" spans="10:12" x14ac:dyDescent="0.3">
      <c r="J57">
        <v>1831.9218544428616</v>
      </c>
      <c r="K57">
        <v>10000</v>
      </c>
      <c r="L57" s="5">
        <v>13105.54</v>
      </c>
    </row>
    <row r="58" spans="10:12" x14ac:dyDescent="0.3">
      <c r="J58">
        <v>1560.53981488912</v>
      </c>
      <c r="K58">
        <v>3250</v>
      </c>
      <c r="L58" s="5">
        <v>16152.62</v>
      </c>
    </row>
    <row r="59" spans="10:12" x14ac:dyDescent="0.3">
      <c r="J59">
        <v>1723.0671184231537</v>
      </c>
      <c r="K59">
        <v>7500</v>
      </c>
      <c r="L59" s="5">
        <v>17760.72</v>
      </c>
    </row>
    <row r="60" spans="10:12" x14ac:dyDescent="0.3">
      <c r="J60">
        <v>2337.9611048626966</v>
      </c>
      <c r="K60">
        <v>4250</v>
      </c>
      <c r="L60" s="5">
        <v>25638.32</v>
      </c>
    </row>
    <row r="61" spans="10:12" x14ac:dyDescent="0.3">
      <c r="J61">
        <v>1851.8587368604162</v>
      </c>
      <c r="K61">
        <v>4750</v>
      </c>
      <c r="L61" s="5">
        <v>21201.759999999998</v>
      </c>
    </row>
    <row r="62" spans="10:12" x14ac:dyDescent="0.3">
      <c r="J62">
        <v>1371.3576742026662</v>
      </c>
      <c r="K62">
        <v>5000</v>
      </c>
      <c r="L62" s="5">
        <v>13022.54</v>
      </c>
    </row>
    <row r="63" spans="10:12" x14ac:dyDescent="0.3">
      <c r="J63">
        <v>2508.3607553628299</v>
      </c>
      <c r="K63">
        <v>9250</v>
      </c>
      <c r="L63" s="5">
        <v>29792.06</v>
      </c>
    </row>
    <row r="64" spans="10:12" x14ac:dyDescent="0.3">
      <c r="J64">
        <v>1461.1355240653802</v>
      </c>
      <c r="K64">
        <v>8500</v>
      </c>
      <c r="L64" s="5">
        <v>8115.77</v>
      </c>
    </row>
    <row r="65" spans="10:12" x14ac:dyDescent="0.3">
      <c r="J65">
        <v>1769.2594300566843</v>
      </c>
      <c r="K65">
        <v>5250</v>
      </c>
      <c r="L65" s="5">
        <v>19586.939999999999</v>
      </c>
    </row>
    <row r="66" spans="10:12" x14ac:dyDescent="0.3">
      <c r="J66">
        <v>1832.8125464128748</v>
      </c>
      <c r="K66">
        <v>9500</v>
      </c>
      <c r="L66" s="5">
        <v>15299.28</v>
      </c>
    </row>
    <row r="67" spans="10:12" x14ac:dyDescent="0.3">
      <c r="J67">
        <v>1095.4924048522153</v>
      </c>
      <c r="K67">
        <v>3000</v>
      </c>
      <c r="L67" s="5">
        <v>10233.52</v>
      </c>
    </row>
    <row r="68" spans="10:12" x14ac:dyDescent="0.3">
      <c r="J68">
        <v>1698.6276961588983</v>
      </c>
      <c r="K68">
        <v>1750</v>
      </c>
      <c r="L68" s="5">
        <v>1152.8900000000001</v>
      </c>
    </row>
    <row r="69" spans="10:12" x14ac:dyDescent="0.3">
      <c r="J69">
        <v>1946.3202803352106</v>
      </c>
      <c r="K69">
        <v>8000</v>
      </c>
      <c r="L69" s="5">
        <v>21175.27</v>
      </c>
    </row>
    <row r="70" spans="10:12" x14ac:dyDescent="0.3">
      <c r="J70">
        <v>2259.177283203775</v>
      </c>
      <c r="K70">
        <v>3500</v>
      </c>
      <c r="L70" s="5">
        <v>22796.25</v>
      </c>
    </row>
    <row r="71" spans="10:12" x14ac:dyDescent="0.3">
      <c r="J71">
        <v>1319.1865085040672</v>
      </c>
      <c r="K71">
        <v>7000</v>
      </c>
      <c r="L71" s="5">
        <v>10334.379999999999</v>
      </c>
    </row>
    <row r="72" spans="10:12" x14ac:dyDescent="0.3">
      <c r="J72">
        <v>1547.769622716613</v>
      </c>
      <c r="K72">
        <v>3250</v>
      </c>
      <c r="L72" s="5">
        <v>16088.26</v>
      </c>
    </row>
    <row r="73" spans="10:12" x14ac:dyDescent="0.3">
      <c r="J73">
        <v>2895.7959450464332</v>
      </c>
      <c r="K73">
        <v>10000</v>
      </c>
      <c r="L73" s="5">
        <v>35995.480000000003</v>
      </c>
    </row>
    <row r="74" spans="10:12" x14ac:dyDescent="0.3">
      <c r="J74">
        <v>1991.4322335410225</v>
      </c>
      <c r="K74">
        <v>4500</v>
      </c>
      <c r="L74" s="5">
        <v>23371.25</v>
      </c>
    </row>
    <row r="75" spans="10:12" x14ac:dyDescent="0.3">
      <c r="J75">
        <v>2018.1252122664193</v>
      </c>
      <c r="K75">
        <v>2500</v>
      </c>
      <c r="L75" s="5">
        <v>10396.76</v>
      </c>
    </row>
    <row r="76" spans="10:12" x14ac:dyDescent="0.3">
      <c r="J76">
        <v>1587.6406528138427</v>
      </c>
      <c r="K76">
        <v>8000</v>
      </c>
      <c r="L76" s="5">
        <v>13793.64</v>
      </c>
    </row>
    <row r="77" spans="10:12" x14ac:dyDescent="0.3">
      <c r="J77">
        <v>2316.6215787671972</v>
      </c>
      <c r="K77">
        <v>5250</v>
      </c>
      <c r="L77" s="5">
        <v>27173.38</v>
      </c>
    </row>
    <row r="78" spans="10:12" x14ac:dyDescent="0.3">
      <c r="J78">
        <v>1709.409298974901</v>
      </c>
      <c r="K78">
        <v>5750</v>
      </c>
      <c r="L78" s="5">
        <v>17699.64</v>
      </c>
    </row>
    <row r="79" spans="10:12" x14ac:dyDescent="0.3">
      <c r="J79">
        <v>2032.7612914185497</v>
      </c>
      <c r="K79">
        <v>5000</v>
      </c>
      <c r="L79" s="5">
        <v>23474.07</v>
      </c>
    </row>
    <row r="80" spans="10:12" x14ac:dyDescent="0.3">
      <c r="J80">
        <v>2217.300351463181</v>
      </c>
      <c r="K80">
        <v>6500</v>
      </c>
      <c r="L80" s="5">
        <v>29041.78</v>
      </c>
    </row>
    <row r="81" spans="10:12" x14ac:dyDescent="0.3">
      <c r="J81">
        <v>1871.94020529674</v>
      </c>
      <c r="K81">
        <v>9750</v>
      </c>
      <c r="L81" s="5">
        <v>15481.12</v>
      </c>
    </row>
    <row r="82" spans="10:12" x14ac:dyDescent="0.3">
      <c r="J82">
        <v>2086.6329817246328</v>
      </c>
      <c r="K82">
        <v>9500</v>
      </c>
      <c r="L82" s="5">
        <v>20522.91</v>
      </c>
    </row>
    <row r="83" spans="10:12" x14ac:dyDescent="0.3">
      <c r="J83">
        <v>1151.8449649554566</v>
      </c>
      <c r="K83">
        <v>1750</v>
      </c>
      <c r="L83" s="5">
        <v>10267.799999999999</v>
      </c>
    </row>
    <row r="84" spans="10:12" x14ac:dyDescent="0.3">
      <c r="J84">
        <v>2247.163943343774</v>
      </c>
      <c r="K84">
        <v>8500</v>
      </c>
      <c r="L84" s="5">
        <v>26186.63</v>
      </c>
    </row>
    <row r="85" spans="10:12" x14ac:dyDescent="0.3">
      <c r="J85">
        <v>1700.8412828421303</v>
      </c>
      <c r="K85">
        <v>1750</v>
      </c>
      <c r="L85" s="5">
        <v>1105.48</v>
      </c>
    </row>
    <row r="86" spans="10:12" x14ac:dyDescent="0.3">
      <c r="J86">
        <v>2122.6689287608915</v>
      </c>
      <c r="K86">
        <v>2500</v>
      </c>
      <c r="L86" s="5">
        <v>8157.43</v>
      </c>
    </row>
    <row r="87" spans="10:12" x14ac:dyDescent="0.3">
      <c r="J87">
        <v>1898.0261303096177</v>
      </c>
      <c r="K87">
        <v>2750</v>
      </c>
      <c r="L87" s="5">
        <v>16578.55</v>
      </c>
    </row>
    <row r="88" spans="10:12" x14ac:dyDescent="0.3">
      <c r="J88">
        <v>1846.8955229184594</v>
      </c>
      <c r="K88">
        <v>8250</v>
      </c>
      <c r="L88" s="5">
        <v>18539.11</v>
      </c>
    </row>
    <row r="89" spans="10:12" x14ac:dyDescent="0.3">
      <c r="J89">
        <v>1330.0985450131075</v>
      </c>
      <c r="K89">
        <v>5250</v>
      </c>
      <c r="L89" s="5">
        <v>11413.43</v>
      </c>
    </row>
    <row r="90" spans="10:12" x14ac:dyDescent="0.3">
      <c r="J90">
        <v>2146.4772940516259</v>
      </c>
      <c r="K90">
        <v>5250</v>
      </c>
      <c r="L90" s="5">
        <v>24815.18</v>
      </c>
    </row>
    <row r="91" spans="10:12" x14ac:dyDescent="0.3">
      <c r="J91">
        <v>1216.0783518919836</v>
      </c>
      <c r="K91">
        <v>3500</v>
      </c>
      <c r="L91" s="5">
        <v>13564.85</v>
      </c>
    </row>
    <row r="92" spans="10:12" x14ac:dyDescent="0.3">
      <c r="J92">
        <v>3323.8950883656189</v>
      </c>
      <c r="K92">
        <v>3000</v>
      </c>
      <c r="L92" s="5">
        <v>-2086.58</v>
      </c>
    </row>
    <row r="93" spans="10:12" x14ac:dyDescent="0.3">
      <c r="J93">
        <v>1251.5478566856755</v>
      </c>
      <c r="K93">
        <v>8750</v>
      </c>
      <c r="L93" s="5">
        <v>398.76</v>
      </c>
    </row>
    <row r="94" spans="10:12" x14ac:dyDescent="0.3">
      <c r="J94">
        <v>1525.3909809881036</v>
      </c>
      <c r="K94">
        <v>8750</v>
      </c>
      <c r="L94" s="5">
        <v>9024.82</v>
      </c>
    </row>
    <row r="95" spans="10:12" x14ac:dyDescent="0.3">
      <c r="J95">
        <v>2516.2593165868248</v>
      </c>
      <c r="K95">
        <v>7750</v>
      </c>
      <c r="L95" s="5">
        <v>32860.35</v>
      </c>
    </row>
    <row r="96" spans="10:12" x14ac:dyDescent="0.3">
      <c r="J96">
        <v>1453.7909758508026</v>
      </c>
      <c r="K96">
        <v>6750</v>
      </c>
      <c r="L96" s="5">
        <v>13989.02</v>
      </c>
    </row>
    <row r="97" spans="10:12" x14ac:dyDescent="0.3">
      <c r="J97">
        <v>2126.9545962554312</v>
      </c>
      <c r="K97">
        <v>8250</v>
      </c>
      <c r="L97" s="5">
        <v>24302.73</v>
      </c>
    </row>
    <row r="98" spans="10:12" x14ac:dyDescent="0.3">
      <c r="J98">
        <v>1395.5717655101876</v>
      </c>
      <c r="K98">
        <v>8000</v>
      </c>
      <c r="L98" s="5">
        <v>8280.51</v>
      </c>
    </row>
    <row r="99" spans="10:12" x14ac:dyDescent="0.3">
      <c r="J99">
        <v>1423.2070283394482</v>
      </c>
      <c r="K99">
        <v>5750</v>
      </c>
      <c r="L99" s="5">
        <v>11809.6</v>
      </c>
    </row>
    <row r="100" spans="10:12" x14ac:dyDescent="0.3">
      <c r="J100">
        <v>2035.7293660957821</v>
      </c>
      <c r="K100">
        <v>7750</v>
      </c>
      <c r="L100" s="5">
        <v>23605.31</v>
      </c>
    </row>
    <row r="101" spans="10:12" x14ac:dyDescent="0.3">
      <c r="J101">
        <v>2340.6420918871113</v>
      </c>
      <c r="K101">
        <v>5000</v>
      </c>
      <c r="L101" s="5">
        <v>27741.3</v>
      </c>
    </row>
    <row r="102" spans="10:12" x14ac:dyDescent="0.3">
      <c r="J102">
        <v>2462.7668315048008</v>
      </c>
      <c r="K102">
        <v>6500</v>
      </c>
      <c r="L102" s="5">
        <v>32443.95</v>
      </c>
    </row>
    <row r="103" spans="10:12" x14ac:dyDescent="0.3">
      <c r="J103">
        <v>2047.3398835848059</v>
      </c>
      <c r="K103">
        <v>6000</v>
      </c>
      <c r="L103" s="5">
        <v>26816.13</v>
      </c>
    </row>
    <row r="104" spans="10:12" x14ac:dyDescent="0.3">
      <c r="J104">
        <v>1808.8062461398354</v>
      </c>
      <c r="K104">
        <v>2500</v>
      </c>
      <c r="L104" s="5">
        <v>14880.37</v>
      </c>
    </row>
    <row r="105" spans="10:12" x14ac:dyDescent="0.3">
      <c r="J105">
        <v>1644.7167591432546</v>
      </c>
      <c r="K105">
        <v>6000</v>
      </c>
      <c r="L105" s="5">
        <v>19688.27</v>
      </c>
    </row>
    <row r="106" spans="10:12" x14ac:dyDescent="0.3">
      <c r="J106">
        <v>1354.3232009198041</v>
      </c>
      <c r="K106">
        <v>7250</v>
      </c>
      <c r="L106" s="5">
        <v>10326.18</v>
      </c>
    </row>
    <row r="107" spans="10:12" x14ac:dyDescent="0.3">
      <c r="J107">
        <v>1184.7417595465092</v>
      </c>
      <c r="K107">
        <v>7000</v>
      </c>
      <c r="L107" s="5">
        <v>6099.37</v>
      </c>
    </row>
    <row r="108" spans="10:12" x14ac:dyDescent="0.3">
      <c r="J108">
        <v>2229.7787760711399</v>
      </c>
      <c r="K108">
        <v>8250</v>
      </c>
      <c r="L108" s="5">
        <v>26418.85</v>
      </c>
    </row>
    <row r="109" spans="10:12" x14ac:dyDescent="0.3">
      <c r="J109">
        <v>2000.2987366030593</v>
      </c>
      <c r="K109">
        <v>3250</v>
      </c>
      <c r="L109" s="5">
        <v>18369.009999999998</v>
      </c>
    </row>
    <row r="110" spans="10:12" x14ac:dyDescent="0.3">
      <c r="J110">
        <v>1696.3465633592268</v>
      </c>
      <c r="K110">
        <v>5000</v>
      </c>
      <c r="L110" s="5">
        <v>18811.36</v>
      </c>
    </row>
    <row r="111" spans="10:12" x14ac:dyDescent="0.3">
      <c r="J111">
        <v>2206.1431745651075</v>
      </c>
      <c r="K111">
        <v>10000</v>
      </c>
      <c r="L111" s="5">
        <v>21802.43</v>
      </c>
    </row>
    <row r="112" spans="10:12" x14ac:dyDescent="0.3">
      <c r="J112">
        <v>1583.494294888998</v>
      </c>
      <c r="K112">
        <v>10000</v>
      </c>
      <c r="L112" s="5">
        <v>5280.07</v>
      </c>
    </row>
    <row r="113" spans="10:12" x14ac:dyDescent="0.3">
      <c r="J113">
        <v>1308.5124239330003</v>
      </c>
      <c r="K113">
        <v>9250</v>
      </c>
      <c r="L113" s="5">
        <v>-36.86</v>
      </c>
    </row>
    <row r="114" spans="10:12" x14ac:dyDescent="0.3">
      <c r="J114">
        <v>2426.2089310944725</v>
      </c>
      <c r="K114">
        <v>2750</v>
      </c>
      <c r="L114" s="5">
        <v>7018.1</v>
      </c>
    </row>
    <row r="115" spans="10:12" x14ac:dyDescent="0.3">
      <c r="J115">
        <v>1833.0343936651452</v>
      </c>
      <c r="K115">
        <v>9500</v>
      </c>
      <c r="L115" s="5">
        <v>15303.85</v>
      </c>
    </row>
    <row r="116" spans="10:12" x14ac:dyDescent="0.3">
      <c r="J116">
        <v>2044.9982902638703</v>
      </c>
      <c r="K116">
        <v>9750</v>
      </c>
      <c r="L116" s="5">
        <v>19076.060000000001</v>
      </c>
    </row>
    <row r="117" spans="10:12" x14ac:dyDescent="0.3">
      <c r="J117">
        <v>2097.1665602772487</v>
      </c>
      <c r="K117">
        <v>3000</v>
      </c>
      <c r="L117" s="5">
        <v>18219.72</v>
      </c>
    </row>
    <row r="118" spans="10:12" x14ac:dyDescent="0.3">
      <c r="J118">
        <v>1847.9060653189788</v>
      </c>
      <c r="K118">
        <v>8750</v>
      </c>
      <c r="L118" s="5">
        <v>17379.91</v>
      </c>
    </row>
    <row r="119" spans="10:12" x14ac:dyDescent="0.3">
      <c r="J119">
        <v>1550.9703363208919</v>
      </c>
      <c r="K119">
        <v>6000</v>
      </c>
      <c r="L119" s="5">
        <v>17758.97</v>
      </c>
    </row>
    <row r="120" spans="10:12" x14ac:dyDescent="0.3">
      <c r="J120">
        <v>1560.3052478952372</v>
      </c>
      <c r="K120">
        <v>5250</v>
      </c>
      <c r="L120" s="5">
        <v>16151.08</v>
      </c>
    </row>
    <row r="121" spans="10:12" x14ac:dyDescent="0.3">
      <c r="J121">
        <v>1887.6095108753234</v>
      </c>
      <c r="K121">
        <v>8000</v>
      </c>
      <c r="L121" s="5">
        <v>19967</v>
      </c>
    </row>
    <row r="122" spans="10:12" x14ac:dyDescent="0.3">
      <c r="J122">
        <v>1976.7448086868474</v>
      </c>
      <c r="K122">
        <v>8000</v>
      </c>
      <c r="L122" s="5">
        <v>21801.41</v>
      </c>
    </row>
    <row r="123" spans="10:12" x14ac:dyDescent="0.3">
      <c r="J123">
        <v>2321.6467515288855</v>
      </c>
      <c r="K123">
        <v>9250</v>
      </c>
      <c r="L123" s="5">
        <v>25949.49</v>
      </c>
    </row>
    <row r="124" spans="10:12" x14ac:dyDescent="0.3">
      <c r="J124">
        <v>1221.1823508622479</v>
      </c>
      <c r="K124">
        <v>3750</v>
      </c>
      <c r="L124" s="5">
        <v>13400.59</v>
      </c>
    </row>
    <row r="125" spans="10:12" x14ac:dyDescent="0.3">
      <c r="J125">
        <v>1351.1472484198794</v>
      </c>
      <c r="K125">
        <v>4750</v>
      </c>
      <c r="L125" s="5">
        <v>13366.61</v>
      </c>
    </row>
    <row r="126" spans="10:12" x14ac:dyDescent="0.3">
      <c r="J126">
        <v>1494.8107329472236</v>
      </c>
      <c r="K126">
        <v>6500</v>
      </c>
      <c r="L126" s="5">
        <v>15423.2</v>
      </c>
    </row>
    <row r="127" spans="10:12" x14ac:dyDescent="0.3">
      <c r="J127">
        <v>2333.3591095507277</v>
      </c>
      <c r="K127">
        <v>3250</v>
      </c>
      <c r="L127" s="5">
        <v>19731.95</v>
      </c>
    </row>
    <row r="128" spans="10:12" x14ac:dyDescent="0.3">
      <c r="J128">
        <v>1844.4690843635208</v>
      </c>
      <c r="K128">
        <v>8750</v>
      </c>
      <c r="L128" s="5">
        <v>17309.169999999998</v>
      </c>
    </row>
    <row r="129" spans="10:12" x14ac:dyDescent="0.3">
      <c r="J129">
        <v>1706.6167989880787</v>
      </c>
      <c r="K129">
        <v>2750</v>
      </c>
      <c r="L129" s="5">
        <v>15613.85</v>
      </c>
    </row>
    <row r="130" spans="10:12" x14ac:dyDescent="0.3">
      <c r="J130">
        <v>1432.9822961688274</v>
      </c>
      <c r="K130">
        <v>7750</v>
      </c>
      <c r="L130" s="5">
        <v>10573.94</v>
      </c>
    </row>
    <row r="131" spans="10:12" x14ac:dyDescent="0.3">
      <c r="J131">
        <v>1198.652485749923</v>
      </c>
      <c r="K131">
        <v>8750</v>
      </c>
      <c r="L131" s="5">
        <v>-1267.45</v>
      </c>
    </row>
    <row r="132" spans="10:12" x14ac:dyDescent="0.3">
      <c r="J132">
        <v>2181.6382750373837</v>
      </c>
      <c r="K132">
        <v>1250</v>
      </c>
      <c r="L132" s="5">
        <v>-7160.61</v>
      </c>
    </row>
    <row r="133" spans="10:12" x14ac:dyDescent="0.3">
      <c r="J133">
        <v>2227.7132529379751</v>
      </c>
      <c r="K133">
        <v>1750</v>
      </c>
      <c r="L133" s="5">
        <v>-3157.73</v>
      </c>
    </row>
    <row r="134" spans="10:12" x14ac:dyDescent="0.3">
      <c r="J134">
        <v>2580.3593455805885</v>
      </c>
      <c r="K134">
        <v>1750</v>
      </c>
      <c r="L134" s="5">
        <v>-5527.51</v>
      </c>
    </row>
    <row r="135" spans="10:12" x14ac:dyDescent="0.3">
      <c r="J135">
        <v>1942.565181873734</v>
      </c>
      <c r="K135">
        <v>1250</v>
      </c>
      <c r="L135" s="5">
        <v>-5554.04</v>
      </c>
    </row>
    <row r="136" spans="10:12" x14ac:dyDescent="0.3">
      <c r="J136">
        <v>2019.4700005965406</v>
      </c>
      <c r="K136">
        <v>9750</v>
      </c>
      <c r="L136" s="5">
        <v>18550.689999999999</v>
      </c>
    </row>
    <row r="137" spans="10:12" x14ac:dyDescent="0.3">
      <c r="J137">
        <v>1746.881125417528</v>
      </c>
      <c r="K137">
        <v>5750</v>
      </c>
      <c r="L137" s="5">
        <v>18470.810000000001</v>
      </c>
    </row>
    <row r="138" spans="10:12" x14ac:dyDescent="0.3">
      <c r="J138">
        <v>1357.6950213153675</v>
      </c>
      <c r="K138">
        <v>2750</v>
      </c>
      <c r="L138" s="5">
        <v>13855.28</v>
      </c>
    </row>
    <row r="139" spans="10:12" x14ac:dyDescent="0.3">
      <c r="J139">
        <v>2092.749707663444</v>
      </c>
      <c r="K139">
        <v>3250</v>
      </c>
      <c r="L139" s="5">
        <v>18834.96</v>
      </c>
    </row>
    <row r="140" spans="10:12" x14ac:dyDescent="0.3">
      <c r="J140">
        <v>1982.6277831813015</v>
      </c>
      <c r="K140">
        <v>5250</v>
      </c>
      <c r="L140" s="5">
        <v>22544.22</v>
      </c>
    </row>
    <row r="141" spans="10:12" x14ac:dyDescent="0.3">
      <c r="J141">
        <v>1739.6739898707635</v>
      </c>
      <c r="K141">
        <v>6750</v>
      </c>
      <c r="L141" s="5">
        <v>19872.490000000002</v>
      </c>
    </row>
    <row r="142" spans="10:12" x14ac:dyDescent="0.3">
      <c r="J142">
        <v>1466.5259174784171</v>
      </c>
      <c r="K142">
        <v>1250</v>
      </c>
      <c r="L142" s="5">
        <v>-2355.0500000000002</v>
      </c>
    </row>
    <row r="143" spans="10:12" x14ac:dyDescent="0.3">
      <c r="J143">
        <v>1738.7887604243633</v>
      </c>
      <c r="K143">
        <v>10000</v>
      </c>
      <c r="L143" s="5">
        <v>10171.85</v>
      </c>
    </row>
    <row r="144" spans="10:12" x14ac:dyDescent="0.3">
      <c r="J144">
        <v>1033.2804387815745</v>
      </c>
      <c r="K144">
        <v>1250</v>
      </c>
      <c r="L144" s="5">
        <v>3742.13</v>
      </c>
    </row>
    <row r="145" spans="10:12" x14ac:dyDescent="0.3">
      <c r="J145">
        <v>1891.8341683750436</v>
      </c>
      <c r="K145">
        <v>4000</v>
      </c>
      <c r="L145" s="5">
        <v>22460.82</v>
      </c>
    </row>
    <row r="146" spans="10:12" x14ac:dyDescent="0.3">
      <c r="J146">
        <v>2241.4715316774091</v>
      </c>
      <c r="K146">
        <v>7750</v>
      </c>
      <c r="L146" s="5">
        <v>27839.48</v>
      </c>
    </row>
    <row r="147" spans="10:12" x14ac:dyDescent="0.3">
      <c r="J147">
        <v>2059.1413138861444</v>
      </c>
      <c r="K147">
        <v>5500</v>
      </c>
      <c r="L147" s="5">
        <v>23369.7</v>
      </c>
    </row>
    <row r="148" spans="10:12" x14ac:dyDescent="0.3">
      <c r="J148">
        <v>1177.7421600364746</v>
      </c>
      <c r="K148">
        <v>2500</v>
      </c>
      <c r="L148" s="5">
        <v>12198.51</v>
      </c>
    </row>
    <row r="149" spans="10:12" x14ac:dyDescent="0.3">
      <c r="J149">
        <v>2000.3809578858925</v>
      </c>
      <c r="K149">
        <v>2500</v>
      </c>
      <c r="L149" s="5">
        <v>10776.84</v>
      </c>
    </row>
    <row r="150" spans="10:12" x14ac:dyDescent="0.3">
      <c r="J150">
        <v>1963.024453560806</v>
      </c>
      <c r="K150">
        <v>1500</v>
      </c>
      <c r="L150" s="5">
        <v>-3066.52</v>
      </c>
    </row>
    <row r="151" spans="10:12" x14ac:dyDescent="0.3">
      <c r="J151">
        <v>1376.9102764871222</v>
      </c>
      <c r="K151">
        <v>5000</v>
      </c>
      <c r="L151" s="5">
        <v>13136.81</v>
      </c>
    </row>
    <row r="152" spans="10:12" x14ac:dyDescent="0.3">
      <c r="J152">
        <v>1773.4371173309189</v>
      </c>
      <c r="K152">
        <v>8750</v>
      </c>
      <c r="L152" s="5">
        <v>15847.34</v>
      </c>
    </row>
    <row r="153" spans="10:12" x14ac:dyDescent="0.3">
      <c r="J153">
        <v>1174.6204442838637</v>
      </c>
      <c r="K153">
        <v>8250</v>
      </c>
      <c r="L153" s="5">
        <v>205.54</v>
      </c>
    </row>
    <row r="154" spans="10:12" x14ac:dyDescent="0.3">
      <c r="J154">
        <v>1040.6250568431531</v>
      </c>
      <c r="K154">
        <v>9750</v>
      </c>
      <c r="L154" s="5">
        <v>-10705.31</v>
      </c>
    </row>
    <row r="155" spans="10:12" x14ac:dyDescent="0.3">
      <c r="J155">
        <v>1301.8517747675878</v>
      </c>
      <c r="K155">
        <v>1750</v>
      </c>
      <c r="L155" s="5">
        <v>9651.84</v>
      </c>
    </row>
    <row r="156" spans="10:12" x14ac:dyDescent="0.3">
      <c r="J156">
        <v>1492.0601126023021</v>
      </c>
      <c r="K156">
        <v>5000</v>
      </c>
      <c r="L156" s="5">
        <v>15506.6</v>
      </c>
    </row>
    <row r="157" spans="10:12" x14ac:dyDescent="0.3">
      <c r="J157">
        <v>2104.9460731866675</v>
      </c>
      <c r="K157">
        <v>8250</v>
      </c>
      <c r="L157" s="5">
        <v>23849.79</v>
      </c>
    </row>
    <row r="158" spans="10:12" x14ac:dyDescent="0.3">
      <c r="J158">
        <v>2101.2926453927353</v>
      </c>
      <c r="K158">
        <v>7250</v>
      </c>
      <c r="L158" s="5">
        <v>26134.6</v>
      </c>
    </row>
    <row r="159" spans="10:12" x14ac:dyDescent="0.3">
      <c r="J159">
        <v>2444.3485920802705</v>
      </c>
      <c r="K159">
        <v>2000</v>
      </c>
      <c r="L159" s="5">
        <v>-2926.02</v>
      </c>
    </row>
    <row r="160" spans="10:12" x14ac:dyDescent="0.3">
      <c r="J160">
        <v>1786.8990865607384</v>
      </c>
      <c r="K160">
        <v>6000</v>
      </c>
      <c r="L160" s="5">
        <v>22614.38</v>
      </c>
    </row>
    <row r="161" spans="10:12" x14ac:dyDescent="0.3">
      <c r="J161">
        <v>1148.9937901043913</v>
      </c>
      <c r="K161">
        <v>5250</v>
      </c>
      <c r="L161" s="5">
        <v>7686.29</v>
      </c>
    </row>
    <row r="162" spans="10:12" x14ac:dyDescent="0.3">
      <c r="J162">
        <v>1661.0996677644378</v>
      </c>
      <c r="K162">
        <v>2750</v>
      </c>
      <c r="L162" s="5">
        <v>15384.44</v>
      </c>
    </row>
    <row r="163" spans="10:12" x14ac:dyDescent="0.3">
      <c r="J163">
        <v>1899.3068650187861</v>
      </c>
      <c r="K163">
        <v>3250</v>
      </c>
      <c r="L163" s="5">
        <v>17860.009999999998</v>
      </c>
    </row>
    <row r="164" spans="10:12" x14ac:dyDescent="0.3">
      <c r="J164">
        <v>1565.6732871664858</v>
      </c>
      <c r="K164">
        <v>6250</v>
      </c>
      <c r="L164" s="5">
        <v>17471.560000000001</v>
      </c>
    </row>
    <row r="165" spans="10:12" x14ac:dyDescent="0.3">
      <c r="J165">
        <v>2537.4910847741867</v>
      </c>
      <c r="K165">
        <v>6750</v>
      </c>
      <c r="L165" s="5">
        <v>33414.629999999997</v>
      </c>
    </row>
    <row r="166" spans="10:12" x14ac:dyDescent="0.3">
      <c r="J166">
        <v>1953.6147974015778</v>
      </c>
      <c r="K166">
        <v>8000</v>
      </c>
      <c r="L166" s="5">
        <v>21325.39</v>
      </c>
    </row>
    <row r="167" spans="10:12" x14ac:dyDescent="0.3">
      <c r="J167">
        <v>1720.5789397433209</v>
      </c>
      <c r="K167">
        <v>7250</v>
      </c>
      <c r="L167" s="5">
        <v>18299.509999999998</v>
      </c>
    </row>
    <row r="168" spans="10:12" x14ac:dyDescent="0.3">
      <c r="J168">
        <v>2071.3819669961608</v>
      </c>
      <c r="K168">
        <v>2750</v>
      </c>
      <c r="L168" s="5">
        <v>14618.5</v>
      </c>
    </row>
    <row r="169" spans="10:12" x14ac:dyDescent="0.3">
      <c r="J169">
        <v>1887.6490547533049</v>
      </c>
      <c r="K169">
        <v>4750</v>
      </c>
      <c r="L169" s="5">
        <v>21697.82</v>
      </c>
    </row>
    <row r="170" spans="10:12" x14ac:dyDescent="0.3">
      <c r="J170">
        <v>1846.0770881119768</v>
      </c>
      <c r="K170">
        <v>1750</v>
      </c>
      <c r="L170" s="5">
        <v>-593.14</v>
      </c>
    </row>
    <row r="171" spans="10:12" x14ac:dyDescent="0.3">
      <c r="J171">
        <v>1608.0615376274873</v>
      </c>
      <c r="K171">
        <v>9750</v>
      </c>
      <c r="L171" s="5">
        <v>7168.94</v>
      </c>
    </row>
    <row r="172" spans="10:12" x14ac:dyDescent="0.3">
      <c r="J172">
        <v>1936.9581550692023</v>
      </c>
      <c r="K172">
        <v>4750</v>
      </c>
      <c r="L172" s="5">
        <v>22381.24</v>
      </c>
    </row>
    <row r="173" spans="10:12" x14ac:dyDescent="0.3">
      <c r="J173">
        <v>962.63799261477573</v>
      </c>
      <c r="K173">
        <v>2750</v>
      </c>
      <c r="L173" s="5">
        <v>8804.66</v>
      </c>
    </row>
    <row r="174" spans="10:12" x14ac:dyDescent="0.3">
      <c r="J174">
        <v>2068.3046023285024</v>
      </c>
      <c r="K174">
        <v>6500</v>
      </c>
      <c r="L174" s="5">
        <v>26976.7</v>
      </c>
    </row>
    <row r="175" spans="10:12" x14ac:dyDescent="0.3">
      <c r="J175">
        <v>1736.8191202086839</v>
      </c>
      <c r="K175">
        <v>6250</v>
      </c>
      <c r="L175" s="5">
        <v>20993.74</v>
      </c>
    </row>
    <row r="176" spans="10:12" x14ac:dyDescent="0.3">
      <c r="J176">
        <v>2138.9382027634879</v>
      </c>
      <c r="K176">
        <v>4000</v>
      </c>
      <c r="L176" s="5">
        <v>23820.25</v>
      </c>
    </row>
    <row r="177" spans="10:12" x14ac:dyDescent="0.3">
      <c r="J177">
        <v>1771.1148163166381</v>
      </c>
      <c r="K177">
        <v>1250</v>
      </c>
      <c r="L177" s="5">
        <v>-4401.8900000000003</v>
      </c>
    </row>
    <row r="178" spans="10:12" x14ac:dyDescent="0.3">
      <c r="J178">
        <v>1663.5419239667822</v>
      </c>
      <c r="K178">
        <v>8000</v>
      </c>
      <c r="L178" s="5">
        <v>15355.69</v>
      </c>
    </row>
    <row r="179" spans="10:12" x14ac:dyDescent="0.3">
      <c r="J179">
        <v>2111.9470403555506</v>
      </c>
      <c r="K179">
        <v>7750</v>
      </c>
      <c r="L179" s="5">
        <v>25173.87</v>
      </c>
    </row>
    <row r="180" spans="10:12" x14ac:dyDescent="0.3">
      <c r="J180">
        <v>2030.4357130996111</v>
      </c>
      <c r="K180">
        <v>6500</v>
      </c>
      <c r="L180" s="5">
        <v>26446.37</v>
      </c>
    </row>
    <row r="181" spans="10:12" x14ac:dyDescent="0.3">
      <c r="J181">
        <v>1426.9174300003667</v>
      </c>
      <c r="K181">
        <v>1500</v>
      </c>
      <c r="L181" s="5">
        <v>1610.43</v>
      </c>
    </row>
    <row r="182" spans="10:12" x14ac:dyDescent="0.3">
      <c r="J182">
        <v>2239.124260864482</v>
      </c>
      <c r="K182">
        <v>4500</v>
      </c>
      <c r="L182" s="5">
        <v>25955.19</v>
      </c>
    </row>
    <row r="183" spans="10:12" x14ac:dyDescent="0.3">
      <c r="J183">
        <v>1452.5166365164566</v>
      </c>
      <c r="K183">
        <v>4000</v>
      </c>
      <c r="L183" s="5">
        <v>16371.88</v>
      </c>
    </row>
    <row r="184" spans="10:12" x14ac:dyDescent="0.3">
      <c r="J184">
        <v>2017.5434172600485</v>
      </c>
      <c r="K184">
        <v>7000</v>
      </c>
      <c r="L184" s="5">
        <v>25001.040000000001</v>
      </c>
    </row>
    <row r="185" spans="10:12" x14ac:dyDescent="0.3">
      <c r="J185">
        <v>1794.712636975557</v>
      </c>
      <c r="K185">
        <v>5750</v>
      </c>
      <c r="L185" s="5">
        <v>19455.189999999999</v>
      </c>
    </row>
    <row r="186" spans="10:12" x14ac:dyDescent="0.3">
      <c r="J186">
        <v>2124.2276923737063</v>
      </c>
      <c r="K186">
        <v>2250</v>
      </c>
      <c r="L186" s="5">
        <v>2761.54</v>
      </c>
    </row>
    <row r="187" spans="10:12" x14ac:dyDescent="0.3">
      <c r="J187">
        <v>2091.0366876591429</v>
      </c>
      <c r="K187">
        <v>2250</v>
      </c>
      <c r="L187" s="5">
        <v>3472.49</v>
      </c>
    </row>
    <row r="188" spans="10:12" x14ac:dyDescent="0.3">
      <c r="J188">
        <v>2175.6644628623371</v>
      </c>
      <c r="K188">
        <v>6500</v>
      </c>
      <c r="L188" s="5">
        <v>28464.71</v>
      </c>
    </row>
    <row r="189" spans="10:12" x14ac:dyDescent="0.3">
      <c r="J189">
        <v>1807.1015754763823</v>
      </c>
      <c r="K189">
        <v>6250</v>
      </c>
      <c r="L189" s="5">
        <v>22440.15</v>
      </c>
    </row>
    <row r="190" spans="10:12" x14ac:dyDescent="0.3">
      <c r="J190">
        <v>2071.8662488690334</v>
      </c>
      <c r="K190">
        <v>7750</v>
      </c>
      <c r="L190" s="5">
        <v>24349.01</v>
      </c>
    </row>
    <row r="191" spans="10:12" x14ac:dyDescent="0.3">
      <c r="J191">
        <v>2018.0740189654782</v>
      </c>
      <c r="K191">
        <v>3250</v>
      </c>
      <c r="L191" s="5">
        <v>18458.59</v>
      </c>
    </row>
    <row r="192" spans="10:12" x14ac:dyDescent="0.3">
      <c r="J192">
        <v>2018.505478334034</v>
      </c>
      <c r="K192">
        <v>6750</v>
      </c>
      <c r="L192" s="5">
        <v>25610.84</v>
      </c>
    </row>
    <row r="193" spans="10:12" x14ac:dyDescent="0.3">
      <c r="J193">
        <v>1966.9213528012956</v>
      </c>
      <c r="K193">
        <v>1250</v>
      </c>
      <c r="L193" s="5">
        <v>-5717.71</v>
      </c>
    </row>
    <row r="194" spans="10:12" x14ac:dyDescent="0.3">
      <c r="J194">
        <v>1633.3617101201037</v>
      </c>
      <c r="K194">
        <v>2000</v>
      </c>
      <c r="L194" s="5">
        <v>7913.39</v>
      </c>
    </row>
    <row r="195" spans="10:12" x14ac:dyDescent="0.3">
      <c r="J195">
        <v>1954.9784643196231</v>
      </c>
      <c r="K195">
        <v>9500</v>
      </c>
      <c r="L195" s="5">
        <v>17813.46</v>
      </c>
    </row>
    <row r="196" spans="10:12" x14ac:dyDescent="0.3">
      <c r="J196">
        <v>1434.7245185962727</v>
      </c>
      <c r="K196">
        <v>6250</v>
      </c>
      <c r="L196" s="5">
        <v>14776.63</v>
      </c>
    </row>
    <row r="197" spans="10:12" x14ac:dyDescent="0.3">
      <c r="J197">
        <v>1652.744207584469</v>
      </c>
      <c r="K197">
        <v>9500</v>
      </c>
      <c r="L197" s="5">
        <v>9691.44</v>
      </c>
    </row>
    <row r="198" spans="10:12" x14ac:dyDescent="0.3">
      <c r="J198">
        <v>1709.4577034237116</v>
      </c>
      <c r="K198">
        <v>7250</v>
      </c>
      <c r="L198" s="5">
        <v>18070.64</v>
      </c>
    </row>
    <row r="199" spans="10:12" x14ac:dyDescent="0.3">
      <c r="J199">
        <v>1951.7069516622457</v>
      </c>
      <c r="K199">
        <v>3250</v>
      </c>
      <c r="L199" s="5">
        <v>18124.099999999999</v>
      </c>
    </row>
    <row r="200" spans="10:12" x14ac:dyDescent="0.3">
      <c r="J200">
        <v>1203.2246135444582</v>
      </c>
      <c r="K200">
        <v>1750</v>
      </c>
      <c r="L200" s="5">
        <v>10526.75</v>
      </c>
    </row>
    <row r="201" spans="10:12" x14ac:dyDescent="0.3">
      <c r="J201">
        <v>1933.3565762657547</v>
      </c>
      <c r="K201">
        <v>10000</v>
      </c>
      <c r="L201" s="5">
        <v>16188.48</v>
      </c>
    </row>
    <row r="202" spans="10:12" x14ac:dyDescent="0.3">
      <c r="J202">
        <v>1885.9222216815913</v>
      </c>
      <c r="K202">
        <v>7750</v>
      </c>
      <c r="L202" s="5">
        <v>20522.28</v>
      </c>
    </row>
    <row r="203" spans="10:12" x14ac:dyDescent="0.3">
      <c r="J203">
        <v>1390.0213893228595</v>
      </c>
      <c r="K203">
        <v>5500</v>
      </c>
      <c r="L203" s="5">
        <v>11886.64</v>
      </c>
    </row>
    <row r="204" spans="10:12" x14ac:dyDescent="0.3">
      <c r="J204">
        <v>1673.0827385753707</v>
      </c>
      <c r="K204">
        <v>7250</v>
      </c>
      <c r="L204" s="5">
        <v>17322.04</v>
      </c>
    </row>
    <row r="205" spans="10:12" x14ac:dyDescent="0.3">
      <c r="J205">
        <v>1177.9620568900727</v>
      </c>
      <c r="K205">
        <v>1250</v>
      </c>
      <c r="L205" s="5">
        <v>643.04999999999995</v>
      </c>
    </row>
    <row r="206" spans="10:12" x14ac:dyDescent="0.3">
      <c r="J206">
        <v>2192.3655817247845</v>
      </c>
      <c r="K206">
        <v>8250</v>
      </c>
      <c r="L206" s="5">
        <v>25648.880000000001</v>
      </c>
    </row>
    <row r="207" spans="10:12" x14ac:dyDescent="0.3">
      <c r="J207">
        <v>1651.0366215473559</v>
      </c>
      <c r="K207">
        <v>6000</v>
      </c>
      <c r="L207" s="5">
        <v>19818.330000000002</v>
      </c>
    </row>
    <row r="208" spans="10:12" x14ac:dyDescent="0.3">
      <c r="J208">
        <v>2472.6433372283063</v>
      </c>
      <c r="K208">
        <v>6750</v>
      </c>
      <c r="L208" s="5">
        <v>32515.84</v>
      </c>
    </row>
    <row r="209" spans="10:12" x14ac:dyDescent="0.3">
      <c r="J209">
        <v>2131.579154817869</v>
      </c>
      <c r="K209">
        <v>1750</v>
      </c>
      <c r="L209" s="5">
        <v>-2511.71</v>
      </c>
    </row>
    <row r="210" spans="10:12" x14ac:dyDescent="0.3">
      <c r="J210">
        <v>873.67764974952888</v>
      </c>
      <c r="K210">
        <v>4000</v>
      </c>
      <c r="L210" s="5">
        <v>5820.29</v>
      </c>
    </row>
    <row r="211" spans="10:12" x14ac:dyDescent="0.3">
      <c r="J211">
        <v>1734.6419366538159</v>
      </c>
      <c r="K211">
        <v>6500</v>
      </c>
      <c r="L211" s="5">
        <v>20358.93</v>
      </c>
    </row>
    <row r="212" spans="10:12" x14ac:dyDescent="0.3">
      <c r="J212">
        <v>1940.0971740910679</v>
      </c>
      <c r="K212">
        <v>4750</v>
      </c>
      <c r="L212" s="5">
        <v>22424.75</v>
      </c>
    </row>
    <row r="213" spans="10:12" x14ac:dyDescent="0.3">
      <c r="J213">
        <v>1660.7609970141395</v>
      </c>
      <c r="K213">
        <v>2250</v>
      </c>
      <c r="L213" s="5">
        <v>12689</v>
      </c>
    </row>
    <row r="214" spans="10:12" x14ac:dyDescent="0.3">
      <c r="J214">
        <v>1992.6154068754536</v>
      </c>
      <c r="K214">
        <v>1500</v>
      </c>
      <c r="L214" s="5">
        <v>-3265.38</v>
      </c>
    </row>
    <row r="215" spans="10:12" x14ac:dyDescent="0.3">
      <c r="J215">
        <v>1642.4020485921408</v>
      </c>
      <c r="K215">
        <v>5000</v>
      </c>
      <c r="L215" s="5">
        <v>18063.689999999999</v>
      </c>
    </row>
    <row r="216" spans="10:12" x14ac:dyDescent="0.3">
      <c r="J216">
        <v>1864.0227662745538</v>
      </c>
      <c r="K216">
        <v>5500</v>
      </c>
      <c r="L216" s="5">
        <v>20665.36</v>
      </c>
    </row>
    <row r="217" spans="10:12" x14ac:dyDescent="0.3">
      <c r="J217">
        <v>1632.7603050693513</v>
      </c>
      <c r="K217">
        <v>7750</v>
      </c>
      <c r="L217" s="5">
        <v>15312.21</v>
      </c>
    </row>
    <row r="218" spans="10:12" x14ac:dyDescent="0.3">
      <c r="J218">
        <v>2017.7921766072998</v>
      </c>
      <c r="K218">
        <v>7000</v>
      </c>
      <c r="L218" s="5">
        <v>25006.16</v>
      </c>
    </row>
    <row r="219" spans="10:12" x14ac:dyDescent="0.3">
      <c r="J219">
        <v>2582.2205601361452</v>
      </c>
      <c r="K219">
        <v>1500</v>
      </c>
      <c r="L219" s="5">
        <v>-7227.52</v>
      </c>
    </row>
    <row r="220" spans="10:12" x14ac:dyDescent="0.3">
      <c r="J220">
        <v>1587.3099232132006</v>
      </c>
      <c r="K220">
        <v>6500</v>
      </c>
      <c r="L220" s="5">
        <v>17326.84</v>
      </c>
    </row>
    <row r="221" spans="10:12" x14ac:dyDescent="0.3">
      <c r="J221">
        <v>1594.4197168148814</v>
      </c>
      <c r="K221">
        <v>3500</v>
      </c>
      <c r="L221" s="5">
        <v>18808.66</v>
      </c>
    </row>
    <row r="222" spans="10:12" x14ac:dyDescent="0.3">
      <c r="J222">
        <v>1240.7109342195549</v>
      </c>
      <c r="K222">
        <v>10000</v>
      </c>
      <c r="L222" s="5">
        <v>-5517.61</v>
      </c>
    </row>
    <row r="223" spans="10:12" x14ac:dyDescent="0.3">
      <c r="J223">
        <v>1006.9538856580284</v>
      </c>
      <c r="K223">
        <v>4500</v>
      </c>
      <c r="L223" s="5">
        <v>7043.11</v>
      </c>
    </row>
    <row r="224" spans="10:12" x14ac:dyDescent="0.3">
      <c r="J224">
        <v>1351.1274398163741</v>
      </c>
      <c r="K224">
        <v>7000</v>
      </c>
      <c r="L224" s="5">
        <v>11286.2</v>
      </c>
    </row>
    <row r="225" spans="10:12" x14ac:dyDescent="0.3">
      <c r="J225">
        <v>2440.8163586127475</v>
      </c>
      <c r="K225">
        <v>3000</v>
      </c>
      <c r="L225" s="5">
        <v>12067.71</v>
      </c>
    </row>
    <row r="226" spans="10:12" x14ac:dyDescent="0.3">
      <c r="J226">
        <v>2275.4548016246199</v>
      </c>
      <c r="K226">
        <v>5750</v>
      </c>
      <c r="L226" s="5">
        <v>26132.799999999999</v>
      </c>
    </row>
    <row r="227" spans="10:12" x14ac:dyDescent="0.3">
      <c r="J227">
        <v>1739.5555757243546</v>
      </c>
      <c r="K227">
        <v>6500</v>
      </c>
      <c r="L227" s="5">
        <v>20460.05</v>
      </c>
    </row>
    <row r="228" spans="10:12" x14ac:dyDescent="0.3">
      <c r="J228">
        <v>1397.3954764044213</v>
      </c>
      <c r="K228">
        <v>6250</v>
      </c>
      <c r="L228" s="5">
        <v>14008.4</v>
      </c>
    </row>
    <row r="229" spans="10:12" x14ac:dyDescent="0.3">
      <c r="J229">
        <v>1824.8022034833132</v>
      </c>
      <c r="K229">
        <v>9750</v>
      </c>
      <c r="L229" s="5">
        <v>13996.27</v>
      </c>
    </row>
    <row r="230" spans="10:12" x14ac:dyDescent="0.3">
      <c r="J230">
        <v>1771.3323180555353</v>
      </c>
      <c r="K230">
        <v>8500</v>
      </c>
      <c r="L230" s="5">
        <v>16394.02</v>
      </c>
    </row>
    <row r="231" spans="10:12" x14ac:dyDescent="0.3">
      <c r="J231">
        <v>1718.5165498545873</v>
      </c>
      <c r="K231">
        <v>8250</v>
      </c>
      <c r="L231" s="5">
        <v>15897.07</v>
      </c>
    </row>
    <row r="232" spans="10:12" x14ac:dyDescent="0.3">
      <c r="J232">
        <v>1538.0032254185655</v>
      </c>
      <c r="K232">
        <v>4750</v>
      </c>
      <c r="L232" s="5">
        <v>16851.72</v>
      </c>
    </row>
    <row r="233" spans="10:12" x14ac:dyDescent="0.3">
      <c r="J233">
        <v>1785.7205257030398</v>
      </c>
      <c r="K233">
        <v>6500</v>
      </c>
      <c r="L233" s="5">
        <v>21410.13</v>
      </c>
    </row>
    <row r="234" spans="10:12" x14ac:dyDescent="0.3">
      <c r="J234">
        <v>2363.8591736429225</v>
      </c>
      <c r="K234">
        <v>3750</v>
      </c>
      <c r="L234" s="5">
        <v>24138.85</v>
      </c>
    </row>
    <row r="235" spans="10:12" x14ac:dyDescent="0.3">
      <c r="J235">
        <v>2008.1991997870794</v>
      </c>
      <c r="K235">
        <v>5250</v>
      </c>
      <c r="L235" s="5">
        <v>22898.639999999999</v>
      </c>
    </row>
    <row r="236" spans="10:12" x14ac:dyDescent="0.3">
      <c r="J236">
        <v>1587.0952441262302</v>
      </c>
      <c r="K236">
        <v>5000</v>
      </c>
      <c r="L236" s="5">
        <v>17297.14</v>
      </c>
    </row>
    <row r="237" spans="10:12" x14ac:dyDescent="0.3">
      <c r="J237">
        <v>2610.0584906925628</v>
      </c>
      <c r="K237">
        <v>1750</v>
      </c>
      <c r="L237" s="5">
        <v>-5727.09</v>
      </c>
    </row>
    <row r="238" spans="10:12" x14ac:dyDescent="0.3">
      <c r="J238">
        <v>1986.8203244669871</v>
      </c>
      <c r="K238">
        <v>6750</v>
      </c>
      <c r="L238" s="5">
        <v>24958.76</v>
      </c>
    </row>
    <row r="239" spans="10:12" x14ac:dyDescent="0.3">
      <c r="J239">
        <v>1419.7226459896528</v>
      </c>
      <c r="K239">
        <v>9500</v>
      </c>
      <c r="L239" s="5">
        <v>2351.2600000000002</v>
      </c>
    </row>
    <row r="240" spans="10:12" x14ac:dyDescent="0.3">
      <c r="J240">
        <v>2459.7065314760453</v>
      </c>
      <c r="K240">
        <v>3500</v>
      </c>
      <c r="L240" s="5">
        <v>23806.92</v>
      </c>
    </row>
    <row r="241" spans="10:12" x14ac:dyDescent="0.3">
      <c r="J241">
        <v>1970.0875129474455</v>
      </c>
      <c r="K241">
        <v>2000</v>
      </c>
      <c r="L241" s="5">
        <v>700.73</v>
      </c>
    </row>
    <row r="242" spans="10:12" x14ac:dyDescent="0.3">
      <c r="J242">
        <v>1320.1837682207688</v>
      </c>
      <c r="K242">
        <v>3500</v>
      </c>
      <c r="L242" s="5">
        <v>15007.75</v>
      </c>
    </row>
    <row r="243" spans="10:12" x14ac:dyDescent="0.3">
      <c r="J243">
        <v>1481.9011094388613</v>
      </c>
      <c r="K243">
        <v>9750</v>
      </c>
      <c r="L243" s="5">
        <v>3194.88</v>
      </c>
    </row>
    <row r="244" spans="10:12" x14ac:dyDescent="0.3">
      <c r="J244">
        <v>965.41129263587936</v>
      </c>
      <c r="K244">
        <v>3000</v>
      </c>
      <c r="L244" s="5">
        <v>8430.6</v>
      </c>
    </row>
    <row r="245" spans="10:12" x14ac:dyDescent="0.3">
      <c r="J245">
        <v>2333.1419080256851</v>
      </c>
      <c r="K245">
        <v>2750</v>
      </c>
      <c r="L245" s="5">
        <v>9011.6</v>
      </c>
    </row>
    <row r="246" spans="10:12" x14ac:dyDescent="0.3">
      <c r="J246">
        <v>1892.4451664725641</v>
      </c>
      <c r="K246">
        <v>3000</v>
      </c>
      <c r="L246" s="5">
        <v>17187.919999999998</v>
      </c>
    </row>
    <row r="247" spans="10:12" x14ac:dyDescent="0.3">
      <c r="J247">
        <v>2264.6502180306597</v>
      </c>
      <c r="K247">
        <v>6750</v>
      </c>
      <c r="L247" s="5">
        <v>29633.05</v>
      </c>
    </row>
    <row r="248" spans="10:12" x14ac:dyDescent="0.3">
      <c r="J248">
        <v>1400.8733744769536</v>
      </c>
      <c r="K248">
        <v>8250</v>
      </c>
      <c r="L248" s="5">
        <v>7332.51</v>
      </c>
    </row>
    <row r="249" spans="10:12" x14ac:dyDescent="0.3">
      <c r="J249">
        <v>1749.015073269228</v>
      </c>
      <c r="K249">
        <v>6750</v>
      </c>
      <c r="L249" s="5">
        <v>20064.73</v>
      </c>
    </row>
    <row r="250" spans="10:12" x14ac:dyDescent="0.3">
      <c r="J250">
        <v>1416.0244225333831</v>
      </c>
      <c r="K250">
        <v>7500</v>
      </c>
      <c r="L250" s="5">
        <v>11154.77</v>
      </c>
    </row>
    <row r="251" spans="10:12" x14ac:dyDescent="0.3">
      <c r="J251">
        <v>1425.4732626299447</v>
      </c>
      <c r="K251">
        <v>8250</v>
      </c>
      <c r="L251" s="5">
        <v>8107.41</v>
      </c>
    </row>
    <row r="252" spans="10:12" x14ac:dyDescent="0.3">
      <c r="J252">
        <v>1844.7460781332445</v>
      </c>
      <c r="K252">
        <v>6250</v>
      </c>
      <c r="L252" s="5">
        <v>23214.87</v>
      </c>
    </row>
    <row r="253" spans="10:12" x14ac:dyDescent="0.3">
      <c r="J253">
        <v>1375.6168162204751</v>
      </c>
      <c r="K253">
        <v>3250</v>
      </c>
      <c r="L253" s="5">
        <v>13703.55</v>
      </c>
    </row>
    <row r="254" spans="10:12" x14ac:dyDescent="0.3">
      <c r="J254">
        <v>2118.1564129627732</v>
      </c>
      <c r="K254">
        <v>4750</v>
      </c>
      <c r="L254" s="5">
        <v>24892.65</v>
      </c>
    </row>
    <row r="255" spans="10:12" x14ac:dyDescent="0.3">
      <c r="J255">
        <v>1526.1078376130642</v>
      </c>
      <c r="K255">
        <v>5500</v>
      </c>
      <c r="L255" s="5">
        <v>14687.3</v>
      </c>
    </row>
    <row r="256" spans="10:12" x14ac:dyDescent="0.3">
      <c r="J256">
        <v>1745.6546195556248</v>
      </c>
      <c r="K256">
        <v>8500</v>
      </c>
      <c r="L256" s="5">
        <v>15865.57</v>
      </c>
    </row>
    <row r="257" spans="10:12" x14ac:dyDescent="0.3">
      <c r="J257">
        <v>2034.7151068838198</v>
      </c>
      <c r="K257">
        <v>2000</v>
      </c>
      <c r="L257" s="5">
        <v>-173.29</v>
      </c>
    </row>
    <row r="258" spans="10:12" x14ac:dyDescent="0.3">
      <c r="J258">
        <v>2005.4603956723438</v>
      </c>
      <c r="K258">
        <v>5000</v>
      </c>
      <c r="L258" s="5">
        <v>23095.68</v>
      </c>
    </row>
    <row r="259" spans="10:12" x14ac:dyDescent="0.3">
      <c r="J259">
        <v>1572.9940034613776</v>
      </c>
      <c r="K259">
        <v>8750</v>
      </c>
      <c r="L259" s="5">
        <v>10524.31</v>
      </c>
    </row>
    <row r="260" spans="10:12" x14ac:dyDescent="0.3">
      <c r="J260">
        <v>1725.0388950809504</v>
      </c>
      <c r="K260">
        <v>4250</v>
      </c>
      <c r="L260" s="5">
        <v>19914.04</v>
      </c>
    </row>
    <row r="261" spans="10:12" x14ac:dyDescent="0.3">
      <c r="J261">
        <v>1658.9028453076451</v>
      </c>
      <c r="K261">
        <v>3250</v>
      </c>
      <c r="L261" s="5">
        <v>16648.37</v>
      </c>
    </row>
    <row r="262" spans="10:12" x14ac:dyDescent="0.3">
      <c r="J262">
        <v>1747.4784428523283</v>
      </c>
      <c r="K262">
        <v>1250</v>
      </c>
      <c r="L262" s="5">
        <v>-4243.0600000000004</v>
      </c>
    </row>
    <row r="263" spans="10:12" x14ac:dyDescent="0.3">
      <c r="J263">
        <v>1985.3923707134445</v>
      </c>
      <c r="K263">
        <v>6500</v>
      </c>
      <c r="L263" s="5">
        <v>25519.38</v>
      </c>
    </row>
    <row r="264" spans="10:12" x14ac:dyDescent="0.3">
      <c r="J264">
        <v>1273.254839425761</v>
      </c>
      <c r="K264">
        <v>9000</v>
      </c>
      <c r="L264" s="5">
        <v>-32.47</v>
      </c>
    </row>
    <row r="265" spans="10:12" x14ac:dyDescent="0.3">
      <c r="J265">
        <v>2066.1254872801023</v>
      </c>
      <c r="K265">
        <v>6250</v>
      </c>
      <c r="L265" s="5">
        <v>27011.5</v>
      </c>
    </row>
    <row r="266" spans="10:12" x14ac:dyDescent="0.3">
      <c r="J266">
        <v>1899.2166106124903</v>
      </c>
      <c r="K266">
        <v>3250</v>
      </c>
      <c r="L266" s="5">
        <v>17859.55</v>
      </c>
    </row>
    <row r="267" spans="10:12" x14ac:dyDescent="0.3">
      <c r="J267">
        <v>1705.7276267311272</v>
      </c>
      <c r="K267">
        <v>3250</v>
      </c>
      <c r="L267" s="5">
        <v>16884.37</v>
      </c>
    </row>
    <row r="268" spans="10:12" x14ac:dyDescent="0.3">
      <c r="J268">
        <v>1727.5680141592179</v>
      </c>
      <c r="K268">
        <v>5000</v>
      </c>
      <c r="L268" s="5">
        <v>19244.09</v>
      </c>
    </row>
    <row r="269" spans="10:12" x14ac:dyDescent="0.3">
      <c r="J269">
        <v>1765.5136318281059</v>
      </c>
      <c r="K269">
        <v>7000</v>
      </c>
      <c r="L269" s="5">
        <v>19814.27</v>
      </c>
    </row>
    <row r="270" spans="10:12" x14ac:dyDescent="0.3">
      <c r="J270">
        <v>1619.2660295975797</v>
      </c>
      <c r="K270">
        <v>1250</v>
      </c>
      <c r="L270" s="5">
        <v>-3381.47</v>
      </c>
    </row>
    <row r="271" spans="10:12" x14ac:dyDescent="0.3">
      <c r="J271">
        <v>1930.6432385081421</v>
      </c>
      <c r="K271">
        <v>6000</v>
      </c>
      <c r="L271" s="5">
        <v>25198.720000000001</v>
      </c>
    </row>
    <row r="272" spans="10:12" x14ac:dyDescent="0.3">
      <c r="J272">
        <v>1594.7239536158736</v>
      </c>
      <c r="K272">
        <v>5750</v>
      </c>
      <c r="L272" s="5">
        <v>15339.42</v>
      </c>
    </row>
    <row r="273" spans="10:12" x14ac:dyDescent="0.3">
      <c r="J273">
        <v>2208.8970289856129</v>
      </c>
      <c r="K273">
        <v>5000</v>
      </c>
      <c r="L273" s="5">
        <v>25915.31</v>
      </c>
    </row>
    <row r="274" spans="10:12" x14ac:dyDescent="0.3">
      <c r="J274">
        <v>1338.063680932954</v>
      </c>
      <c r="K274">
        <v>2250</v>
      </c>
      <c r="L274" s="5">
        <v>12481.34</v>
      </c>
    </row>
    <row r="275" spans="10:12" x14ac:dyDescent="0.3">
      <c r="J275">
        <v>1715.1153284500533</v>
      </c>
      <c r="K275">
        <v>7250</v>
      </c>
      <c r="L275" s="5">
        <v>18187.07</v>
      </c>
    </row>
    <row r="276" spans="10:12" x14ac:dyDescent="0.3">
      <c r="J276">
        <v>1192.5468744686373</v>
      </c>
      <c r="K276">
        <v>2000</v>
      </c>
      <c r="L276" s="5">
        <v>11110.44</v>
      </c>
    </row>
    <row r="277" spans="10:12" x14ac:dyDescent="0.3">
      <c r="J277">
        <v>1769.4815814328811</v>
      </c>
      <c r="K277">
        <v>7750</v>
      </c>
      <c r="L277" s="5">
        <v>18125.93</v>
      </c>
    </row>
    <row r="278" spans="10:12" x14ac:dyDescent="0.3">
      <c r="J278">
        <v>1531.9743877652063</v>
      </c>
      <c r="K278">
        <v>10000</v>
      </c>
      <c r="L278" s="5">
        <v>3657.19</v>
      </c>
    </row>
    <row r="279" spans="10:12" x14ac:dyDescent="0.3">
      <c r="J279">
        <v>1885.4077665999882</v>
      </c>
      <c r="K279">
        <v>9000</v>
      </c>
      <c r="L279" s="5">
        <v>17561.689999999999</v>
      </c>
    </row>
    <row r="280" spans="10:12" x14ac:dyDescent="0.3">
      <c r="J280">
        <v>2094.3075313067957</v>
      </c>
      <c r="K280">
        <v>6750</v>
      </c>
      <c r="L280" s="5">
        <v>27170.85</v>
      </c>
    </row>
    <row r="281" spans="10:12" x14ac:dyDescent="0.3">
      <c r="J281">
        <v>2256.8564483264577</v>
      </c>
      <c r="K281">
        <v>9500</v>
      </c>
      <c r="L281" s="5">
        <v>24026.11</v>
      </c>
    </row>
    <row r="282" spans="10:12" x14ac:dyDescent="0.3">
      <c r="J282">
        <v>1597.3669079113211</v>
      </c>
      <c r="K282">
        <v>7500</v>
      </c>
      <c r="L282" s="5">
        <v>15173.81</v>
      </c>
    </row>
    <row r="283" spans="10:12" x14ac:dyDescent="0.3">
      <c r="J283">
        <v>1913.075356973234</v>
      </c>
      <c r="K283">
        <v>4000</v>
      </c>
      <c r="L283" s="5">
        <v>22681.9</v>
      </c>
    </row>
    <row r="284" spans="10:12" x14ac:dyDescent="0.3">
      <c r="J284">
        <v>1582.7440262712457</v>
      </c>
      <c r="K284">
        <v>5000</v>
      </c>
      <c r="L284" s="5">
        <v>17236.830000000002</v>
      </c>
    </row>
    <row r="285" spans="10:12" x14ac:dyDescent="0.3">
      <c r="J285">
        <v>1307.4495170076225</v>
      </c>
      <c r="K285">
        <v>8750</v>
      </c>
      <c r="L285" s="5">
        <v>2159.66</v>
      </c>
    </row>
    <row r="286" spans="10:12" x14ac:dyDescent="0.3">
      <c r="J286">
        <v>1391.3340550005846</v>
      </c>
      <c r="K286">
        <v>5500</v>
      </c>
      <c r="L286" s="5">
        <v>11913.65</v>
      </c>
    </row>
    <row r="287" spans="10:12" x14ac:dyDescent="0.3">
      <c r="J287">
        <v>2200.4860124796314</v>
      </c>
      <c r="K287">
        <v>10000</v>
      </c>
      <c r="L287" s="5">
        <v>21686</v>
      </c>
    </row>
    <row r="288" spans="10:12" x14ac:dyDescent="0.3">
      <c r="J288">
        <v>1605.4131740023831</v>
      </c>
      <c r="K288">
        <v>2750</v>
      </c>
      <c r="L288" s="5">
        <v>15103.78</v>
      </c>
    </row>
    <row r="289" spans="10:12" x14ac:dyDescent="0.3">
      <c r="J289">
        <v>1532.5345072623718</v>
      </c>
      <c r="K289">
        <v>2000</v>
      </c>
      <c r="L289" s="5">
        <v>10073.11</v>
      </c>
    </row>
    <row r="290" spans="10:12" x14ac:dyDescent="0.3">
      <c r="J290">
        <v>1952.4101095809042</v>
      </c>
      <c r="K290">
        <v>5250</v>
      </c>
      <c r="L290" s="5">
        <v>22125.4</v>
      </c>
    </row>
    <row r="291" spans="10:12" x14ac:dyDescent="0.3">
      <c r="J291">
        <v>1255.1094542455687</v>
      </c>
      <c r="K291">
        <v>5500</v>
      </c>
      <c r="L291" s="5">
        <v>9110.15</v>
      </c>
    </row>
    <row r="292" spans="10:12" x14ac:dyDescent="0.3">
      <c r="J292">
        <v>1875.4551917271053</v>
      </c>
      <c r="K292">
        <v>8250</v>
      </c>
      <c r="L292" s="5">
        <v>19126.87</v>
      </c>
    </row>
    <row r="293" spans="10:12" x14ac:dyDescent="0.3">
      <c r="J293">
        <v>1627.9220743351054</v>
      </c>
      <c r="K293">
        <v>9500</v>
      </c>
      <c r="L293" s="5">
        <v>8909.5499999999993</v>
      </c>
    </row>
    <row r="294" spans="10:12" x14ac:dyDescent="0.3">
      <c r="J294">
        <v>2469.7873799154268</v>
      </c>
      <c r="K294">
        <v>9250</v>
      </c>
      <c r="L294" s="5">
        <v>28998.22</v>
      </c>
    </row>
    <row r="295" spans="10:12" x14ac:dyDescent="0.3">
      <c r="J295">
        <v>1819.3859704205649</v>
      </c>
      <c r="K295">
        <v>4250</v>
      </c>
      <c r="L295" s="5">
        <v>21221.69</v>
      </c>
    </row>
    <row r="296" spans="10:12" x14ac:dyDescent="0.3">
      <c r="J296">
        <v>1912.3809950370403</v>
      </c>
      <c r="K296">
        <v>6500</v>
      </c>
      <c r="L296" s="5">
        <v>24016.799999999999</v>
      </c>
    </row>
    <row r="297" spans="10:12" x14ac:dyDescent="0.3">
      <c r="J297">
        <v>2206.5915276086139</v>
      </c>
      <c r="K297">
        <v>4250</v>
      </c>
      <c r="L297" s="5">
        <v>24976.22</v>
      </c>
    </row>
    <row r="298" spans="10:12" x14ac:dyDescent="0.3">
      <c r="J298">
        <v>1882.5350242144743</v>
      </c>
      <c r="K298">
        <v>1750</v>
      </c>
      <c r="L298" s="5">
        <v>-838.14</v>
      </c>
    </row>
    <row r="299" spans="10:12" x14ac:dyDescent="0.3">
      <c r="J299">
        <v>1656.9582020319917</v>
      </c>
      <c r="K299">
        <v>9250</v>
      </c>
      <c r="L299" s="5">
        <v>10939.18</v>
      </c>
    </row>
    <row r="300" spans="10:12" x14ac:dyDescent="0.3">
      <c r="J300">
        <v>2893.8347814604831</v>
      </c>
      <c r="K300">
        <v>9500</v>
      </c>
      <c r="L300" s="5">
        <v>37135.120000000003</v>
      </c>
    </row>
    <row r="301" spans="10:12" x14ac:dyDescent="0.3">
      <c r="J301">
        <v>1950.4618025739501</v>
      </c>
      <c r="K301">
        <v>8500</v>
      </c>
      <c r="L301" s="5">
        <v>20080.5</v>
      </c>
    </row>
    <row r="302" spans="10:12" x14ac:dyDescent="0.3">
      <c r="J302">
        <v>2272.617576418897</v>
      </c>
      <c r="K302">
        <v>6000</v>
      </c>
      <c r="L302" s="5">
        <v>29938.48</v>
      </c>
    </row>
    <row r="303" spans="10:12" x14ac:dyDescent="0.3">
      <c r="J303">
        <v>2478.6770716169876</v>
      </c>
      <c r="K303">
        <v>7750</v>
      </c>
      <c r="L303" s="5">
        <v>32339.46</v>
      </c>
    </row>
    <row r="304" spans="10:12" x14ac:dyDescent="0.3">
      <c r="J304">
        <v>955.56259760771513</v>
      </c>
      <c r="K304">
        <v>2500</v>
      </c>
      <c r="L304" s="5">
        <v>9119.1</v>
      </c>
    </row>
    <row r="305" spans="10:12" x14ac:dyDescent="0.3">
      <c r="J305">
        <v>1976.4012328981687</v>
      </c>
      <c r="K305">
        <v>3000</v>
      </c>
      <c r="L305" s="5">
        <v>17611.060000000001</v>
      </c>
    </row>
    <row r="306" spans="10:12" x14ac:dyDescent="0.3">
      <c r="J306">
        <v>2355.8627490382851</v>
      </c>
      <c r="K306">
        <v>5250</v>
      </c>
      <c r="L306" s="5">
        <v>27717.26</v>
      </c>
    </row>
    <row r="307" spans="10:12" x14ac:dyDescent="0.3">
      <c r="J307">
        <v>1583.1614868039101</v>
      </c>
      <c r="K307">
        <v>7000</v>
      </c>
      <c r="L307" s="5">
        <v>16061.46</v>
      </c>
    </row>
    <row r="308" spans="10:12" x14ac:dyDescent="0.3">
      <c r="J308">
        <v>2272.3738949945414</v>
      </c>
      <c r="K308">
        <v>5250</v>
      </c>
      <c r="L308" s="5">
        <v>26560.1</v>
      </c>
    </row>
    <row r="309" spans="10:12" x14ac:dyDescent="0.3">
      <c r="J309">
        <v>2117.999573081197</v>
      </c>
      <c r="K309">
        <v>4250</v>
      </c>
      <c r="L309" s="5">
        <v>24529.72</v>
      </c>
    </row>
    <row r="310" spans="10:12" x14ac:dyDescent="0.3">
      <c r="J310">
        <v>1962.2644536327389</v>
      </c>
      <c r="K310">
        <v>6000</v>
      </c>
      <c r="L310" s="5">
        <v>25636.99</v>
      </c>
    </row>
    <row r="311" spans="10:12" x14ac:dyDescent="0.3">
      <c r="J311">
        <v>1604.0844135978241</v>
      </c>
      <c r="K311">
        <v>9500</v>
      </c>
      <c r="L311" s="5">
        <v>8158.66</v>
      </c>
    </row>
    <row r="312" spans="10:12" x14ac:dyDescent="0.3">
      <c r="J312">
        <v>2220.0370889297478</v>
      </c>
      <c r="K312">
        <v>8500</v>
      </c>
      <c r="L312" s="5">
        <v>25628.36</v>
      </c>
    </row>
    <row r="313" spans="10:12" x14ac:dyDescent="0.3">
      <c r="J313">
        <v>1483.0277215605288</v>
      </c>
      <c r="K313">
        <v>6250</v>
      </c>
      <c r="L313" s="5">
        <v>15770.71</v>
      </c>
    </row>
    <row r="314" spans="10:12" x14ac:dyDescent="0.3">
      <c r="J314">
        <v>2134.4359693184592</v>
      </c>
      <c r="K314">
        <v>3750</v>
      </c>
      <c r="L314" s="5">
        <v>22982.560000000001</v>
      </c>
    </row>
    <row r="315" spans="10:12" x14ac:dyDescent="0.3">
      <c r="J315">
        <v>1717.3761973332596</v>
      </c>
      <c r="K315">
        <v>5250</v>
      </c>
      <c r="L315" s="5">
        <v>18867.830000000002</v>
      </c>
    </row>
    <row r="316" spans="10:12" x14ac:dyDescent="0.3">
      <c r="J316">
        <v>1712.5730405242073</v>
      </c>
      <c r="K316">
        <v>9500</v>
      </c>
      <c r="L316" s="5">
        <v>11576.05</v>
      </c>
    </row>
    <row r="317" spans="10:12" x14ac:dyDescent="0.3">
      <c r="J317">
        <v>1546.2230599350487</v>
      </c>
      <c r="K317">
        <v>2000</v>
      </c>
      <c r="L317" s="5">
        <v>9779.9</v>
      </c>
    </row>
    <row r="318" spans="10:12" x14ac:dyDescent="0.3">
      <c r="J318">
        <v>2477.2369758078185</v>
      </c>
      <c r="K318">
        <v>5000</v>
      </c>
      <c r="L318" s="5">
        <v>28785.27</v>
      </c>
    </row>
    <row r="319" spans="10:12" x14ac:dyDescent="0.3">
      <c r="J319">
        <v>1826.7615808846499</v>
      </c>
      <c r="K319">
        <v>1250</v>
      </c>
      <c r="L319" s="5">
        <v>-4775.84</v>
      </c>
    </row>
    <row r="320" spans="10:12" x14ac:dyDescent="0.3">
      <c r="J320">
        <v>1552.3377641948186</v>
      </c>
      <c r="K320">
        <v>1250</v>
      </c>
      <c r="L320" s="5">
        <v>-2931.71</v>
      </c>
    </row>
    <row r="321" spans="10:12" x14ac:dyDescent="0.3">
      <c r="J321">
        <v>1707.6057595295165</v>
      </c>
      <c r="K321">
        <v>6250</v>
      </c>
      <c r="L321" s="5">
        <v>20392.53</v>
      </c>
    </row>
    <row r="322" spans="10:12" x14ac:dyDescent="0.3">
      <c r="J322">
        <v>1815.8045729095511</v>
      </c>
      <c r="K322">
        <v>7750</v>
      </c>
      <c r="L322" s="5">
        <v>19079.259999999998</v>
      </c>
    </row>
    <row r="323" spans="10:12" x14ac:dyDescent="0.3">
      <c r="J323">
        <v>1771.2564833138968</v>
      </c>
      <c r="K323">
        <v>6000</v>
      </c>
      <c r="L323" s="5">
        <v>22292.46</v>
      </c>
    </row>
    <row r="324" spans="10:12" x14ac:dyDescent="0.3">
      <c r="J324">
        <v>1971.3389891884683</v>
      </c>
      <c r="K324">
        <v>8500</v>
      </c>
      <c r="L324" s="5">
        <v>20510.16</v>
      </c>
    </row>
    <row r="325" spans="10:12" x14ac:dyDescent="0.3">
      <c r="J325">
        <v>2468.2119092546691</v>
      </c>
      <c r="K325">
        <v>3250</v>
      </c>
      <c r="L325" s="5">
        <v>16843.400000000001</v>
      </c>
    </row>
    <row r="326" spans="10:12" x14ac:dyDescent="0.3">
      <c r="J326">
        <v>1687.9121538408808</v>
      </c>
      <c r="K326">
        <v>9000</v>
      </c>
      <c r="L326" s="5">
        <v>13029.23</v>
      </c>
    </row>
    <row r="327" spans="10:12" x14ac:dyDescent="0.3">
      <c r="J327">
        <v>1507.0451639009407</v>
      </c>
      <c r="K327">
        <v>8750</v>
      </c>
      <c r="L327" s="5">
        <v>8446.92</v>
      </c>
    </row>
    <row r="328" spans="10:12" x14ac:dyDescent="0.3">
      <c r="J328">
        <v>1602.4226601489497</v>
      </c>
      <c r="K328">
        <v>3750</v>
      </c>
      <c r="L328" s="5">
        <v>18684.580000000002</v>
      </c>
    </row>
    <row r="329" spans="10:12" x14ac:dyDescent="0.3">
      <c r="J329">
        <v>1729.9112830637323</v>
      </c>
      <c r="K329">
        <v>8250</v>
      </c>
      <c r="L329" s="5">
        <v>16131.57</v>
      </c>
    </row>
    <row r="330" spans="10:12" x14ac:dyDescent="0.3">
      <c r="J330">
        <v>1693.9043470787087</v>
      </c>
      <c r="K330">
        <v>3250</v>
      </c>
      <c r="L330" s="5">
        <v>16824.78</v>
      </c>
    </row>
    <row r="331" spans="10:12" x14ac:dyDescent="0.3">
      <c r="J331">
        <v>1697.5501002316541</v>
      </c>
      <c r="K331">
        <v>5250</v>
      </c>
      <c r="L331" s="5">
        <v>18593.04</v>
      </c>
    </row>
    <row r="332" spans="10:12" x14ac:dyDescent="0.3">
      <c r="J332">
        <v>1653.7724342167285</v>
      </c>
      <c r="K332">
        <v>1750</v>
      </c>
      <c r="L332" s="5">
        <v>2113.69</v>
      </c>
    </row>
    <row r="333" spans="10:12" x14ac:dyDescent="0.3">
      <c r="J333">
        <v>2103.3984186816078</v>
      </c>
      <c r="K333">
        <v>7750</v>
      </c>
      <c r="L333" s="5">
        <v>24997.94</v>
      </c>
    </row>
    <row r="334" spans="10:12" x14ac:dyDescent="0.3">
      <c r="J334">
        <v>1347.2547637841215</v>
      </c>
      <c r="K334">
        <v>10000</v>
      </c>
      <c r="L334" s="5">
        <v>-2161.4699999999998</v>
      </c>
    </row>
    <row r="335" spans="10:12" x14ac:dyDescent="0.3">
      <c r="J335">
        <v>2492.37553611563</v>
      </c>
      <c r="K335">
        <v>5500</v>
      </c>
      <c r="L335" s="5">
        <v>29374.32</v>
      </c>
    </row>
    <row r="336" spans="10:12" x14ac:dyDescent="0.3">
      <c r="J336">
        <v>1893.1427083819297</v>
      </c>
      <c r="K336">
        <v>4250</v>
      </c>
      <c r="L336" s="5">
        <v>22243.96</v>
      </c>
    </row>
    <row r="337" spans="10:12" x14ac:dyDescent="0.3">
      <c r="J337">
        <v>1384.8819540287334</v>
      </c>
      <c r="K337">
        <v>5250</v>
      </c>
      <c r="L337" s="5">
        <v>12540.87</v>
      </c>
    </row>
    <row r="338" spans="10:12" x14ac:dyDescent="0.3">
      <c r="J338">
        <v>2141.7299462259989</v>
      </c>
      <c r="K338">
        <v>1750</v>
      </c>
      <c r="L338" s="5">
        <v>-2579.9299999999998</v>
      </c>
    </row>
    <row r="339" spans="10:12" x14ac:dyDescent="0.3">
      <c r="J339">
        <v>1864.0447033731029</v>
      </c>
      <c r="K339">
        <v>5000</v>
      </c>
      <c r="L339" s="5">
        <v>21135.66</v>
      </c>
    </row>
    <row r="340" spans="10:12" x14ac:dyDescent="0.3">
      <c r="J340">
        <v>1924.2135461046396</v>
      </c>
      <c r="K340">
        <v>2250</v>
      </c>
      <c r="L340" s="5">
        <v>7045.85</v>
      </c>
    </row>
    <row r="341" spans="10:12" x14ac:dyDescent="0.3">
      <c r="J341">
        <v>2060.0563234796432</v>
      </c>
      <c r="K341">
        <v>7000</v>
      </c>
      <c r="L341" s="5">
        <v>25875.96</v>
      </c>
    </row>
    <row r="342" spans="10:12" x14ac:dyDescent="0.3">
      <c r="J342">
        <v>1735.408073869065</v>
      </c>
      <c r="K342">
        <v>4750</v>
      </c>
      <c r="L342" s="5">
        <v>19587.759999999998</v>
      </c>
    </row>
    <row r="343" spans="10:12" x14ac:dyDescent="0.3">
      <c r="J343">
        <v>1795.0269378479888</v>
      </c>
      <c r="K343">
        <v>2000</v>
      </c>
      <c r="L343" s="5">
        <v>4450.5200000000004</v>
      </c>
    </row>
    <row r="344" spans="10:12" x14ac:dyDescent="0.3">
      <c r="J344">
        <v>1252.3898204495413</v>
      </c>
      <c r="K344">
        <v>10000</v>
      </c>
      <c r="L344" s="5">
        <v>-5149.72</v>
      </c>
    </row>
    <row r="345" spans="10:12" x14ac:dyDescent="0.3">
      <c r="J345">
        <v>1228.8227420265673</v>
      </c>
      <c r="K345">
        <v>1750</v>
      </c>
      <c r="L345" s="5">
        <v>10655.77</v>
      </c>
    </row>
    <row r="346" spans="10:12" x14ac:dyDescent="0.3">
      <c r="J346">
        <v>1381.2148412763113</v>
      </c>
      <c r="K346">
        <v>1750</v>
      </c>
      <c r="L346" s="5">
        <v>7951.88</v>
      </c>
    </row>
    <row r="347" spans="10:12" x14ac:dyDescent="0.3">
      <c r="J347">
        <v>1868.7401926606224</v>
      </c>
      <c r="K347">
        <v>3750</v>
      </c>
      <c r="L347" s="5">
        <v>21643.45</v>
      </c>
    </row>
    <row r="348" spans="10:12" x14ac:dyDescent="0.3">
      <c r="J348">
        <v>2326.5549337579082</v>
      </c>
      <c r="K348">
        <v>9750</v>
      </c>
      <c r="L348" s="5">
        <v>24870.5</v>
      </c>
    </row>
    <row r="349" spans="10:12" x14ac:dyDescent="0.3">
      <c r="J349">
        <v>2021.5828004264959</v>
      </c>
      <c r="K349">
        <v>1500</v>
      </c>
      <c r="L349" s="5">
        <v>-3460.04</v>
      </c>
    </row>
    <row r="350" spans="10:12" x14ac:dyDescent="0.3">
      <c r="J350">
        <v>2049.5772692300861</v>
      </c>
      <c r="K350">
        <v>3750</v>
      </c>
      <c r="L350" s="5">
        <v>22554.87</v>
      </c>
    </row>
    <row r="351" spans="10:12" x14ac:dyDescent="0.3">
      <c r="J351">
        <v>2481.0530357906919</v>
      </c>
      <c r="K351">
        <v>3000</v>
      </c>
      <c r="L351" s="5">
        <v>11205.84</v>
      </c>
    </row>
    <row r="352" spans="10:12" x14ac:dyDescent="0.3">
      <c r="J352">
        <v>2052.0742541966624</v>
      </c>
      <c r="K352">
        <v>9500</v>
      </c>
      <c r="L352" s="5">
        <v>19811.689999999999</v>
      </c>
    </row>
    <row r="353" spans="10:12" x14ac:dyDescent="0.3">
      <c r="J353">
        <v>1700.2509660822614</v>
      </c>
      <c r="K353">
        <v>1250</v>
      </c>
      <c r="L353" s="5">
        <v>-3925.69</v>
      </c>
    </row>
    <row r="354" spans="10:12" x14ac:dyDescent="0.3">
      <c r="J354">
        <v>2087.3280814240852</v>
      </c>
      <c r="K354">
        <v>1250</v>
      </c>
      <c r="L354" s="5">
        <v>-6526.84</v>
      </c>
    </row>
    <row r="355" spans="10:12" x14ac:dyDescent="0.3">
      <c r="J355">
        <v>1907.8129208288892</v>
      </c>
      <c r="K355">
        <v>7750</v>
      </c>
      <c r="L355" s="5">
        <v>20972.79</v>
      </c>
    </row>
    <row r="356" spans="10:12" x14ac:dyDescent="0.3">
      <c r="J356">
        <v>1728.9555431720519</v>
      </c>
      <c r="K356">
        <v>1750</v>
      </c>
      <c r="L356" s="5">
        <v>503.27</v>
      </c>
    </row>
    <row r="357" spans="10:12" x14ac:dyDescent="0.3">
      <c r="J357">
        <v>1344.8450389817176</v>
      </c>
      <c r="K357">
        <v>6250</v>
      </c>
      <c r="L357" s="5">
        <v>12926.91</v>
      </c>
    </row>
    <row r="358" spans="10:12" x14ac:dyDescent="0.3">
      <c r="J358">
        <v>2316.619232775995</v>
      </c>
      <c r="K358">
        <v>10000</v>
      </c>
      <c r="L358" s="5">
        <v>24076.02</v>
      </c>
    </row>
    <row r="359" spans="10:12" x14ac:dyDescent="0.3">
      <c r="J359">
        <v>2022.4664494370052</v>
      </c>
      <c r="K359">
        <v>9750</v>
      </c>
      <c r="L359" s="5">
        <v>18612.36</v>
      </c>
    </row>
    <row r="360" spans="10:12" x14ac:dyDescent="0.3">
      <c r="J360">
        <v>1955.3534091044112</v>
      </c>
      <c r="K360">
        <v>2250</v>
      </c>
      <c r="L360" s="5">
        <v>6378.83</v>
      </c>
    </row>
    <row r="361" spans="10:12" x14ac:dyDescent="0.3">
      <c r="J361">
        <v>1906.4101898902711</v>
      </c>
      <c r="K361">
        <v>3250</v>
      </c>
      <c r="L361" s="5">
        <v>17895.810000000001</v>
      </c>
    </row>
    <row r="362" spans="10:12" x14ac:dyDescent="0.3">
      <c r="J362">
        <v>2146.1176200153895</v>
      </c>
      <c r="K362">
        <v>6250</v>
      </c>
      <c r="L362" s="5">
        <v>28120.19</v>
      </c>
    </row>
    <row r="363" spans="10:12" x14ac:dyDescent="0.3">
      <c r="J363">
        <v>1286.0046050388628</v>
      </c>
      <c r="K363">
        <v>3750</v>
      </c>
      <c r="L363" s="5">
        <v>14299.02</v>
      </c>
    </row>
    <row r="364" spans="10:12" x14ac:dyDescent="0.3">
      <c r="J364">
        <v>2298.4669473820577</v>
      </c>
      <c r="K364">
        <v>3750</v>
      </c>
      <c r="L364" s="5">
        <v>23809.27</v>
      </c>
    </row>
    <row r="365" spans="10:12" x14ac:dyDescent="0.3">
      <c r="J365">
        <v>1742.9732597647471</v>
      </c>
      <c r="K365">
        <v>6750</v>
      </c>
      <c r="L365" s="5">
        <v>19940.39</v>
      </c>
    </row>
    <row r="366" spans="10:12" x14ac:dyDescent="0.3">
      <c r="J366">
        <v>1759.8021908903809</v>
      </c>
      <c r="K366">
        <v>8250</v>
      </c>
      <c r="L366" s="5">
        <v>16746.73</v>
      </c>
    </row>
    <row r="367" spans="10:12" x14ac:dyDescent="0.3">
      <c r="J367">
        <v>1678.5049218245588</v>
      </c>
      <c r="K367">
        <v>4500</v>
      </c>
      <c r="L367" s="5">
        <v>19034.080000000002</v>
      </c>
    </row>
    <row r="368" spans="10:12" x14ac:dyDescent="0.3">
      <c r="J368">
        <v>2041.5866497515544</v>
      </c>
      <c r="K368">
        <v>5000</v>
      </c>
      <c r="L368" s="5">
        <v>23596.39</v>
      </c>
    </row>
    <row r="369" spans="10:12" x14ac:dyDescent="0.3">
      <c r="J369">
        <v>1591.9109642374337</v>
      </c>
      <c r="K369">
        <v>9000</v>
      </c>
      <c r="L369" s="5">
        <v>10005.200000000001</v>
      </c>
    </row>
    <row r="370" spans="10:12" x14ac:dyDescent="0.3">
      <c r="J370">
        <v>673.85670078321255</v>
      </c>
      <c r="K370">
        <v>5500</v>
      </c>
      <c r="L370" s="5">
        <v>-7043.51</v>
      </c>
    </row>
    <row r="371" spans="10:12" x14ac:dyDescent="0.3">
      <c r="J371">
        <v>1662.1405247416844</v>
      </c>
      <c r="K371">
        <v>9000</v>
      </c>
      <c r="L371" s="5">
        <v>12217.43</v>
      </c>
    </row>
    <row r="372" spans="10:12" x14ac:dyDescent="0.3">
      <c r="J372">
        <v>934.06982845578136</v>
      </c>
      <c r="K372">
        <v>2750</v>
      </c>
      <c r="L372" s="5">
        <v>8408.7099999999991</v>
      </c>
    </row>
    <row r="373" spans="10:12" x14ac:dyDescent="0.3">
      <c r="J373">
        <v>1822.00260909649</v>
      </c>
      <c r="K373">
        <v>4500</v>
      </c>
      <c r="L373" s="5">
        <v>21022.959999999999</v>
      </c>
    </row>
    <row r="374" spans="10:12" x14ac:dyDescent="0.3">
      <c r="J374">
        <v>1699.4138850650259</v>
      </c>
      <c r="K374">
        <v>6250</v>
      </c>
      <c r="L374" s="5">
        <v>20223.939999999999</v>
      </c>
    </row>
    <row r="375" spans="10:12" x14ac:dyDescent="0.3">
      <c r="J375">
        <v>1962.3873779546918</v>
      </c>
      <c r="K375">
        <v>8000</v>
      </c>
      <c r="L375" s="5">
        <v>21505.93</v>
      </c>
    </row>
    <row r="376" spans="10:12" x14ac:dyDescent="0.3">
      <c r="J376">
        <v>1315.5771840499924</v>
      </c>
      <c r="K376">
        <v>1500</v>
      </c>
      <c r="L376" s="5">
        <v>3995.34</v>
      </c>
    </row>
    <row r="377" spans="10:12" x14ac:dyDescent="0.3">
      <c r="J377">
        <v>2364.3161380876913</v>
      </c>
      <c r="K377">
        <v>4500</v>
      </c>
      <c r="L377" s="5">
        <v>26586.15</v>
      </c>
    </row>
    <row r="378" spans="10:12" x14ac:dyDescent="0.3">
      <c r="J378">
        <v>1731.4800257880361</v>
      </c>
      <c r="K378">
        <v>5250</v>
      </c>
      <c r="L378" s="5">
        <v>19063.310000000001</v>
      </c>
    </row>
    <row r="379" spans="10:12" x14ac:dyDescent="0.3">
      <c r="J379">
        <v>1637.8417570223498</v>
      </c>
      <c r="K379">
        <v>3250</v>
      </c>
      <c r="L379" s="5">
        <v>16542.22</v>
      </c>
    </row>
    <row r="380" spans="10:12" x14ac:dyDescent="0.3">
      <c r="J380">
        <v>1685.5124704742329</v>
      </c>
      <c r="K380">
        <v>2250</v>
      </c>
      <c r="L380" s="5">
        <v>12158.82</v>
      </c>
    </row>
    <row r="381" spans="10:12" x14ac:dyDescent="0.3">
      <c r="J381">
        <v>2075.7744087446249</v>
      </c>
      <c r="K381">
        <v>9750</v>
      </c>
      <c r="L381" s="5">
        <v>19709.439999999999</v>
      </c>
    </row>
    <row r="382" spans="10:12" x14ac:dyDescent="0.3">
      <c r="J382">
        <v>1457.3784426366417</v>
      </c>
      <c r="K382">
        <v>9500</v>
      </c>
      <c r="L382" s="5">
        <v>3537.42</v>
      </c>
    </row>
    <row r="383" spans="10:12" x14ac:dyDescent="0.3">
      <c r="J383">
        <v>2180.0991060032616</v>
      </c>
      <c r="K383">
        <v>1250</v>
      </c>
      <c r="L383" s="5">
        <v>-7150.27</v>
      </c>
    </row>
    <row r="384" spans="10:12" x14ac:dyDescent="0.3">
      <c r="J384">
        <v>1850.5835966167128</v>
      </c>
      <c r="K384">
        <v>4500</v>
      </c>
      <c r="L384" s="5">
        <v>21419.09</v>
      </c>
    </row>
    <row r="385" spans="10:12" x14ac:dyDescent="0.3">
      <c r="J385">
        <v>1148.8950009889863</v>
      </c>
      <c r="K385">
        <v>7000</v>
      </c>
      <c r="L385" s="5">
        <v>4970.1899999999996</v>
      </c>
    </row>
    <row r="386" spans="10:12" x14ac:dyDescent="0.3">
      <c r="J386">
        <v>2065.116323827715</v>
      </c>
      <c r="K386">
        <v>9000</v>
      </c>
      <c r="L386" s="5">
        <v>21260.09</v>
      </c>
    </row>
    <row r="387" spans="10:12" x14ac:dyDescent="0.3">
      <c r="J387">
        <v>1805.8330289020516</v>
      </c>
      <c r="K387">
        <v>4000</v>
      </c>
      <c r="L387" s="5">
        <v>21268.85</v>
      </c>
    </row>
    <row r="388" spans="10:12" x14ac:dyDescent="0.3">
      <c r="J388">
        <v>1444.7461152184201</v>
      </c>
      <c r="K388">
        <v>4250</v>
      </c>
      <c r="L388" s="5">
        <v>16029.18</v>
      </c>
    </row>
    <row r="389" spans="10:12" x14ac:dyDescent="0.3">
      <c r="J389">
        <v>2262.8819521388759</v>
      </c>
      <c r="K389">
        <v>4000</v>
      </c>
      <c r="L389" s="5">
        <v>24444.93</v>
      </c>
    </row>
    <row r="390" spans="10:12" x14ac:dyDescent="0.3">
      <c r="J390">
        <v>1901.9812513805564</v>
      </c>
      <c r="K390">
        <v>4500</v>
      </c>
      <c r="L390" s="5">
        <v>22131.46</v>
      </c>
    </row>
    <row r="391" spans="10:12" x14ac:dyDescent="0.3">
      <c r="J391">
        <v>1975.2344968463474</v>
      </c>
      <c r="K391">
        <v>2500</v>
      </c>
      <c r="L391" s="5">
        <v>11315.48</v>
      </c>
    </row>
    <row r="392" spans="10:12" x14ac:dyDescent="0.3">
      <c r="J392">
        <v>1671.8100884448133</v>
      </c>
      <c r="K392">
        <v>3500</v>
      </c>
      <c r="L392" s="5">
        <v>19835.919999999998</v>
      </c>
    </row>
    <row r="393" spans="10:12" x14ac:dyDescent="0.3">
      <c r="J393">
        <v>1792.1995207755649</v>
      </c>
      <c r="K393">
        <v>4250</v>
      </c>
      <c r="L393" s="5">
        <v>20844.89</v>
      </c>
    </row>
    <row r="394" spans="10:12" x14ac:dyDescent="0.3">
      <c r="J394">
        <v>1635.2106618628632</v>
      </c>
      <c r="K394">
        <v>2500</v>
      </c>
      <c r="L394" s="5">
        <v>14616.46</v>
      </c>
    </row>
    <row r="395" spans="10:12" x14ac:dyDescent="0.3">
      <c r="J395">
        <v>869.4944624216688</v>
      </c>
      <c r="K395">
        <v>7750</v>
      </c>
      <c r="L395" s="5">
        <v>-7175.92</v>
      </c>
    </row>
    <row r="396" spans="10:12" x14ac:dyDescent="0.3">
      <c r="J396">
        <v>1438.4915257839125</v>
      </c>
      <c r="K396">
        <v>2500</v>
      </c>
      <c r="L396" s="5">
        <v>13625</v>
      </c>
    </row>
    <row r="397" spans="10:12" x14ac:dyDescent="0.3">
      <c r="J397">
        <v>1336.2537484524828</v>
      </c>
      <c r="K397">
        <v>5250</v>
      </c>
      <c r="L397" s="5">
        <v>11540.1</v>
      </c>
    </row>
    <row r="398" spans="10:12" x14ac:dyDescent="0.3">
      <c r="J398">
        <v>1590.2125468235861</v>
      </c>
      <c r="K398">
        <v>7750</v>
      </c>
      <c r="L398" s="5">
        <v>14436.57</v>
      </c>
    </row>
    <row r="399" spans="10:12" x14ac:dyDescent="0.3">
      <c r="J399">
        <v>1404.5114414658431</v>
      </c>
      <c r="K399">
        <v>4250</v>
      </c>
      <c r="L399" s="5">
        <v>15471.53</v>
      </c>
    </row>
    <row r="400" spans="10:12" x14ac:dyDescent="0.3">
      <c r="J400">
        <v>1614.420184270308</v>
      </c>
      <c r="K400">
        <v>4500</v>
      </c>
      <c r="L400" s="5">
        <v>18145.86</v>
      </c>
    </row>
    <row r="401" spans="10:12" x14ac:dyDescent="0.3">
      <c r="J401">
        <v>1519.3694018021706</v>
      </c>
      <c r="K401">
        <v>2500</v>
      </c>
      <c r="L401" s="5">
        <v>14032.62</v>
      </c>
    </row>
    <row r="402" spans="10:12" x14ac:dyDescent="0.3">
      <c r="J402">
        <v>1383.8458956957854</v>
      </c>
      <c r="K402">
        <v>3250</v>
      </c>
      <c r="L402" s="5">
        <v>13817.6</v>
      </c>
    </row>
    <row r="403" spans="10:12" x14ac:dyDescent="0.3">
      <c r="J403">
        <v>1559.8390355037591</v>
      </c>
      <c r="K403">
        <v>8250</v>
      </c>
      <c r="L403" s="5">
        <v>12339.93</v>
      </c>
    </row>
    <row r="404" spans="10:12" x14ac:dyDescent="0.3">
      <c r="J404">
        <v>1701.7498676213825</v>
      </c>
      <c r="K404">
        <v>8000</v>
      </c>
      <c r="L404" s="5">
        <v>16142.01</v>
      </c>
    </row>
    <row r="405" spans="10:12" x14ac:dyDescent="0.3">
      <c r="J405">
        <v>1794.2861693848088</v>
      </c>
      <c r="K405">
        <v>2750</v>
      </c>
      <c r="L405" s="5">
        <v>16055.7</v>
      </c>
    </row>
    <row r="406" spans="10:12" x14ac:dyDescent="0.3">
      <c r="J406">
        <v>2015.594739536381</v>
      </c>
      <c r="K406">
        <v>7750</v>
      </c>
      <c r="L406" s="5">
        <v>23190.94</v>
      </c>
    </row>
    <row r="407" spans="10:12" x14ac:dyDescent="0.3">
      <c r="J407">
        <v>2039.8195209213079</v>
      </c>
      <c r="K407">
        <v>1500</v>
      </c>
      <c r="L407" s="5">
        <v>-3582.59</v>
      </c>
    </row>
    <row r="408" spans="10:12" x14ac:dyDescent="0.3">
      <c r="J408">
        <v>2086.0440569547218</v>
      </c>
      <c r="K408">
        <v>7500</v>
      </c>
      <c r="L408" s="5">
        <v>25230.79</v>
      </c>
    </row>
    <row r="409" spans="10:12" x14ac:dyDescent="0.3">
      <c r="J409">
        <v>1806.4806011949106</v>
      </c>
      <c r="K409">
        <v>7000</v>
      </c>
      <c r="L409" s="5">
        <v>20657.37</v>
      </c>
    </row>
    <row r="410" spans="10:12" x14ac:dyDescent="0.3">
      <c r="J410">
        <v>1863.1293253395775</v>
      </c>
      <c r="K410">
        <v>5250</v>
      </c>
      <c r="L410" s="5">
        <v>20887.97</v>
      </c>
    </row>
    <row r="411" spans="10:12" x14ac:dyDescent="0.3">
      <c r="J411">
        <v>1857.8645256439256</v>
      </c>
      <c r="K411">
        <v>2500</v>
      </c>
      <c r="L411" s="5">
        <v>13829.54</v>
      </c>
    </row>
    <row r="412" spans="10:12" x14ac:dyDescent="0.3">
      <c r="J412">
        <v>1922.9288402179877</v>
      </c>
      <c r="K412">
        <v>5750</v>
      </c>
      <c r="L412" s="5">
        <v>21246.79</v>
      </c>
    </row>
    <row r="413" spans="10:12" x14ac:dyDescent="0.3">
      <c r="J413">
        <v>1728.6039596920987</v>
      </c>
      <c r="K413">
        <v>5250</v>
      </c>
      <c r="L413" s="5">
        <v>19023.45</v>
      </c>
    </row>
    <row r="414" spans="10:12" x14ac:dyDescent="0.3">
      <c r="J414">
        <v>2071.6103560748052</v>
      </c>
      <c r="K414">
        <v>9500</v>
      </c>
      <c r="L414" s="5">
        <v>20213.740000000002</v>
      </c>
    </row>
    <row r="415" spans="10:12" x14ac:dyDescent="0.3">
      <c r="J415">
        <v>2295.6278163403977</v>
      </c>
      <c r="K415">
        <v>3500</v>
      </c>
      <c r="L415" s="5">
        <v>22979.96</v>
      </c>
    </row>
    <row r="416" spans="10:12" x14ac:dyDescent="0.3">
      <c r="J416">
        <v>2009.4216261320985</v>
      </c>
      <c r="K416">
        <v>3750</v>
      </c>
      <c r="L416" s="5">
        <v>22352.49</v>
      </c>
    </row>
    <row r="417" spans="10:12" x14ac:dyDescent="0.3">
      <c r="J417">
        <v>1805.5875981422892</v>
      </c>
      <c r="K417">
        <v>1250</v>
      </c>
      <c r="L417" s="5">
        <v>-4633.55</v>
      </c>
    </row>
    <row r="418" spans="10:12" x14ac:dyDescent="0.3">
      <c r="J418">
        <v>1692.6385973316123</v>
      </c>
      <c r="K418">
        <v>2500</v>
      </c>
      <c r="L418" s="5">
        <v>14905.9</v>
      </c>
    </row>
    <row r="419" spans="10:12" x14ac:dyDescent="0.3">
      <c r="J419">
        <v>2139.7094986658135</v>
      </c>
      <c r="K419">
        <v>5500</v>
      </c>
      <c r="L419" s="5">
        <v>24486.37</v>
      </c>
    </row>
    <row r="420" spans="10:12" x14ac:dyDescent="0.3">
      <c r="J420">
        <v>2245.6447396463573</v>
      </c>
      <c r="K420">
        <v>6250</v>
      </c>
      <c r="L420" s="5">
        <v>29499.64</v>
      </c>
    </row>
    <row r="421" spans="10:12" x14ac:dyDescent="0.3">
      <c r="J421">
        <v>1626.0981961490484</v>
      </c>
      <c r="K421">
        <v>3500</v>
      </c>
      <c r="L421" s="5">
        <v>19247.72</v>
      </c>
    </row>
    <row r="422" spans="10:12" x14ac:dyDescent="0.3">
      <c r="J422">
        <v>1561.7436080128223</v>
      </c>
      <c r="K422">
        <v>9250</v>
      </c>
      <c r="L422" s="5">
        <v>7939.92</v>
      </c>
    </row>
    <row r="423" spans="10:12" x14ac:dyDescent="0.3">
      <c r="J423">
        <v>1461.7457777951579</v>
      </c>
      <c r="K423">
        <v>2000</v>
      </c>
      <c r="L423" s="5">
        <v>11589.41</v>
      </c>
    </row>
    <row r="424" spans="10:12" x14ac:dyDescent="0.3">
      <c r="J424">
        <v>2162.99929861494</v>
      </c>
      <c r="K424">
        <v>5500</v>
      </c>
      <c r="L424" s="5">
        <v>24809.17</v>
      </c>
    </row>
    <row r="425" spans="10:12" x14ac:dyDescent="0.3">
      <c r="J425">
        <v>1986.0096392394871</v>
      </c>
      <c r="K425">
        <v>9250</v>
      </c>
      <c r="L425" s="5">
        <v>19042.080000000002</v>
      </c>
    </row>
    <row r="426" spans="10:12" x14ac:dyDescent="0.3">
      <c r="J426">
        <v>1702.3123538070247</v>
      </c>
      <c r="K426">
        <v>8500</v>
      </c>
      <c r="L426" s="5">
        <v>14973.59</v>
      </c>
    </row>
    <row r="427" spans="10:12" x14ac:dyDescent="0.3">
      <c r="J427">
        <v>2249.5958798623205</v>
      </c>
      <c r="K427">
        <v>2750</v>
      </c>
      <c r="L427" s="5">
        <v>10801.16</v>
      </c>
    </row>
    <row r="428" spans="10:12" x14ac:dyDescent="0.3">
      <c r="J428">
        <v>1396.8823516357074</v>
      </c>
      <c r="K428">
        <v>7750</v>
      </c>
      <c r="L428" s="5">
        <v>9436.7900000000009</v>
      </c>
    </row>
    <row r="429" spans="10:12" x14ac:dyDescent="0.3">
      <c r="J429">
        <v>2032.5219005504541</v>
      </c>
      <c r="K429">
        <v>5500</v>
      </c>
      <c r="L429" s="5">
        <v>23000.75</v>
      </c>
    </row>
    <row r="430" spans="10:12" x14ac:dyDescent="0.3">
      <c r="J430">
        <v>2038.7552673822172</v>
      </c>
      <c r="K430">
        <v>9250</v>
      </c>
      <c r="L430" s="5">
        <v>20127.580000000002</v>
      </c>
    </row>
    <row r="431" spans="10:12" x14ac:dyDescent="0.3">
      <c r="J431">
        <v>2235.3799647232977</v>
      </c>
      <c r="K431">
        <v>3000</v>
      </c>
      <c r="L431" s="5">
        <v>16468.16</v>
      </c>
    </row>
    <row r="432" spans="10:12" x14ac:dyDescent="0.3">
      <c r="J432">
        <v>3051.4141080388954</v>
      </c>
      <c r="K432">
        <v>3750</v>
      </c>
      <c r="L432" s="5">
        <v>17738.71</v>
      </c>
    </row>
    <row r="433" spans="10:12" x14ac:dyDescent="0.3">
      <c r="J433">
        <v>1850.0024008622058</v>
      </c>
      <c r="K433">
        <v>8500</v>
      </c>
      <c r="L433" s="5">
        <v>18013.05</v>
      </c>
    </row>
    <row r="434" spans="10:12" x14ac:dyDescent="0.3">
      <c r="J434">
        <v>1081.1878335578515</v>
      </c>
      <c r="K434">
        <v>2750</v>
      </c>
      <c r="L434" s="5">
        <v>10447.76</v>
      </c>
    </row>
    <row r="435" spans="10:12" x14ac:dyDescent="0.3">
      <c r="J435">
        <v>1914.1169748405014</v>
      </c>
      <c r="K435">
        <v>1750</v>
      </c>
      <c r="L435" s="5">
        <v>-1050.3699999999999</v>
      </c>
    </row>
    <row r="436" spans="10:12" x14ac:dyDescent="0.3">
      <c r="J436">
        <v>2273.7808213734916</v>
      </c>
      <c r="K436">
        <v>9250</v>
      </c>
      <c r="L436" s="5">
        <v>24964.41</v>
      </c>
    </row>
    <row r="437" spans="10:12" x14ac:dyDescent="0.3">
      <c r="J437">
        <v>1263.9304940228774</v>
      </c>
      <c r="K437">
        <v>9750</v>
      </c>
      <c r="L437" s="5">
        <v>-3671.19</v>
      </c>
    </row>
    <row r="438" spans="10:12" x14ac:dyDescent="0.3">
      <c r="J438">
        <v>2349.6923240732322</v>
      </c>
      <c r="K438">
        <v>3000</v>
      </c>
      <c r="L438" s="5">
        <v>14019.59</v>
      </c>
    </row>
    <row r="439" spans="10:12" x14ac:dyDescent="0.3">
      <c r="J439">
        <v>1218.5041807536979</v>
      </c>
      <c r="K439">
        <v>5750</v>
      </c>
      <c r="L439" s="5">
        <v>7596.82</v>
      </c>
    </row>
    <row r="440" spans="10:12" x14ac:dyDescent="0.3">
      <c r="J440">
        <v>2305.6649380585723</v>
      </c>
      <c r="K440">
        <v>5250</v>
      </c>
      <c r="L440" s="5">
        <v>27021.52</v>
      </c>
    </row>
    <row r="441" spans="10:12" x14ac:dyDescent="0.3">
      <c r="J441">
        <v>1779.3804500001559</v>
      </c>
      <c r="K441">
        <v>4000</v>
      </c>
      <c r="L441" s="5">
        <v>20902.21</v>
      </c>
    </row>
    <row r="442" spans="10:12" x14ac:dyDescent="0.3">
      <c r="J442">
        <v>2318.8923253869657</v>
      </c>
      <c r="K442">
        <v>3250</v>
      </c>
      <c r="L442" s="5">
        <v>19974.72</v>
      </c>
    </row>
    <row r="443" spans="10:12" x14ac:dyDescent="0.3">
      <c r="J443">
        <v>1435.9264495209829</v>
      </c>
      <c r="K443">
        <v>9750</v>
      </c>
      <c r="L443" s="5">
        <v>1746.68</v>
      </c>
    </row>
    <row r="444" spans="10:12" x14ac:dyDescent="0.3">
      <c r="J444">
        <v>2101.1619191885702</v>
      </c>
      <c r="K444">
        <v>4500</v>
      </c>
      <c r="L444" s="5">
        <v>24892.1</v>
      </c>
    </row>
    <row r="445" spans="10:12" x14ac:dyDescent="0.3">
      <c r="J445">
        <v>1839.609315359166</v>
      </c>
      <c r="K445">
        <v>7750</v>
      </c>
      <c r="L445" s="5">
        <v>19569.16</v>
      </c>
    </row>
    <row r="446" spans="10:12" x14ac:dyDescent="0.3">
      <c r="J446">
        <v>1850.3304578903412</v>
      </c>
      <c r="K446">
        <v>4000</v>
      </c>
      <c r="L446" s="5">
        <v>21885.58</v>
      </c>
    </row>
    <row r="447" spans="10:12" x14ac:dyDescent="0.3">
      <c r="J447">
        <v>1430.8869163178867</v>
      </c>
      <c r="K447">
        <v>9250</v>
      </c>
      <c r="L447" s="5">
        <v>3817.94</v>
      </c>
    </row>
    <row r="448" spans="10:12" x14ac:dyDescent="0.3">
      <c r="J448">
        <v>1390.935417821021</v>
      </c>
      <c r="K448">
        <v>1500</v>
      </c>
      <c r="L448" s="5">
        <v>2381.16</v>
      </c>
    </row>
    <row r="449" spans="10:12" x14ac:dyDescent="0.3">
      <c r="J449">
        <v>2142.2086061497866</v>
      </c>
      <c r="K449">
        <v>1500</v>
      </c>
      <c r="L449" s="5">
        <v>-4270.6400000000003</v>
      </c>
    </row>
    <row r="450" spans="10:12" x14ac:dyDescent="0.3">
      <c r="J450">
        <v>1800.9781524253158</v>
      </c>
      <c r="K450">
        <v>5500</v>
      </c>
      <c r="L450" s="5">
        <v>19791.560000000001</v>
      </c>
    </row>
    <row r="451" spans="10:12" x14ac:dyDescent="0.3">
      <c r="J451">
        <v>2005.1711604257798</v>
      </c>
      <c r="K451">
        <v>2750</v>
      </c>
      <c r="L451" s="5">
        <v>16036.73</v>
      </c>
    </row>
    <row r="452" spans="10:12" x14ac:dyDescent="0.3">
      <c r="J452">
        <v>1498.1363912610723</v>
      </c>
      <c r="K452">
        <v>3250</v>
      </c>
      <c r="L452" s="5">
        <v>15401.67</v>
      </c>
    </row>
    <row r="453" spans="10:12" x14ac:dyDescent="0.3">
      <c r="J453">
        <v>2097.3005209824264</v>
      </c>
      <c r="K453">
        <v>5250</v>
      </c>
      <c r="L453" s="5">
        <v>24133.59</v>
      </c>
    </row>
    <row r="454" spans="10:12" x14ac:dyDescent="0.3">
      <c r="J454">
        <v>1733.4669656172312</v>
      </c>
      <c r="K454">
        <v>2250</v>
      </c>
      <c r="L454" s="5">
        <v>11131.64</v>
      </c>
    </row>
    <row r="455" spans="10:12" x14ac:dyDescent="0.3">
      <c r="J455">
        <v>2436.0492510710455</v>
      </c>
      <c r="K455">
        <v>2750</v>
      </c>
      <c r="L455" s="5">
        <v>6807.33</v>
      </c>
    </row>
    <row r="456" spans="10:12" x14ac:dyDescent="0.3">
      <c r="J456">
        <v>898.36410101355818</v>
      </c>
      <c r="K456">
        <v>2250</v>
      </c>
      <c r="L456" s="5">
        <v>8738.83</v>
      </c>
    </row>
    <row r="457" spans="10:12" x14ac:dyDescent="0.3">
      <c r="J457">
        <v>1557.7997137718214</v>
      </c>
      <c r="K457">
        <v>9500</v>
      </c>
      <c r="L457" s="5">
        <v>6700.69</v>
      </c>
    </row>
    <row r="458" spans="10:12" x14ac:dyDescent="0.3">
      <c r="J458">
        <v>1699.276258053311</v>
      </c>
      <c r="K458">
        <v>8000</v>
      </c>
      <c r="L458" s="5">
        <v>16091.11</v>
      </c>
    </row>
    <row r="459" spans="10:12" x14ac:dyDescent="0.3">
      <c r="J459">
        <v>1749.4312200274883</v>
      </c>
      <c r="K459">
        <v>9250</v>
      </c>
      <c r="L459" s="5">
        <v>13852.08</v>
      </c>
    </row>
    <row r="460" spans="10:12" x14ac:dyDescent="0.3">
      <c r="J460">
        <v>2738.2693989825675</v>
      </c>
      <c r="K460">
        <v>10000</v>
      </c>
      <c r="L460" s="5">
        <v>32753.58</v>
      </c>
    </row>
    <row r="461" spans="10:12" x14ac:dyDescent="0.3">
      <c r="J461">
        <v>1732.9057162463205</v>
      </c>
      <c r="K461">
        <v>6500</v>
      </c>
      <c r="L461" s="5">
        <v>20323.2</v>
      </c>
    </row>
    <row r="462" spans="10:12" x14ac:dyDescent="0.3">
      <c r="J462">
        <v>1297.4131102381393</v>
      </c>
      <c r="K462">
        <v>6000</v>
      </c>
      <c r="L462" s="5">
        <v>12540.76</v>
      </c>
    </row>
    <row r="463" spans="10:12" x14ac:dyDescent="0.3">
      <c r="J463">
        <v>1973.1274765773483</v>
      </c>
      <c r="K463">
        <v>2000</v>
      </c>
      <c r="L463" s="5">
        <v>635.61</v>
      </c>
    </row>
    <row r="464" spans="10:12" x14ac:dyDescent="0.3">
      <c r="J464">
        <v>983.67731015914865</v>
      </c>
      <c r="K464">
        <v>1250</v>
      </c>
      <c r="L464" s="5">
        <v>4804.63</v>
      </c>
    </row>
    <row r="465" spans="10:12" x14ac:dyDescent="0.3">
      <c r="J465">
        <v>1838.9844198113208</v>
      </c>
      <c r="K465">
        <v>5750</v>
      </c>
      <c r="L465" s="5">
        <v>20083.32</v>
      </c>
    </row>
    <row r="466" spans="10:12" x14ac:dyDescent="0.3">
      <c r="J466">
        <v>1965.8786975368391</v>
      </c>
      <c r="K466">
        <v>3500</v>
      </c>
      <c r="L466" s="5">
        <v>21318.03</v>
      </c>
    </row>
    <row r="467" spans="10:12" x14ac:dyDescent="0.3">
      <c r="J467">
        <v>1460.4465486437134</v>
      </c>
      <c r="K467">
        <v>1500</v>
      </c>
      <c r="L467" s="5">
        <v>892.23</v>
      </c>
    </row>
    <row r="468" spans="10:12" x14ac:dyDescent="0.3">
      <c r="J468">
        <v>2257.1653444501985</v>
      </c>
      <c r="K468">
        <v>10000</v>
      </c>
      <c r="L468" s="5">
        <v>22852.46</v>
      </c>
    </row>
    <row r="469" spans="10:12" x14ac:dyDescent="0.3">
      <c r="J469">
        <v>2266.1024085617428</v>
      </c>
      <c r="K469">
        <v>8750</v>
      </c>
      <c r="L469" s="5">
        <v>25986.39</v>
      </c>
    </row>
    <row r="470" spans="10:12" x14ac:dyDescent="0.3">
      <c r="J470">
        <v>1646.0177667156001</v>
      </c>
      <c r="K470">
        <v>3500</v>
      </c>
      <c r="L470" s="5">
        <v>19523.810000000001</v>
      </c>
    </row>
    <row r="471" spans="10:12" x14ac:dyDescent="0.3">
      <c r="J471">
        <v>1596.3056433942102</v>
      </c>
      <c r="K471">
        <v>1750</v>
      </c>
      <c r="L471" s="5">
        <v>3344.63</v>
      </c>
    </row>
    <row r="472" spans="10:12" x14ac:dyDescent="0.3">
      <c r="J472">
        <v>1261.8136056911121</v>
      </c>
      <c r="K472">
        <v>1750</v>
      </c>
      <c r="L472" s="5">
        <v>10509.45</v>
      </c>
    </row>
    <row r="473" spans="10:12" x14ac:dyDescent="0.3">
      <c r="J473">
        <v>2424.6181825233043</v>
      </c>
      <c r="K473">
        <v>3750</v>
      </c>
      <c r="L473" s="5">
        <v>24445.08</v>
      </c>
    </row>
    <row r="474" spans="10:12" x14ac:dyDescent="0.3">
      <c r="J474">
        <v>1490.7949939759324</v>
      </c>
      <c r="K474">
        <v>2750</v>
      </c>
      <c r="L474" s="5">
        <v>14526.11</v>
      </c>
    </row>
    <row r="475" spans="10:12" x14ac:dyDescent="0.3">
      <c r="J475">
        <v>1619.7884156815185</v>
      </c>
      <c r="K475">
        <v>2500</v>
      </c>
      <c r="L475" s="5">
        <v>14538.73</v>
      </c>
    </row>
    <row r="476" spans="10:12" x14ac:dyDescent="0.3">
      <c r="J476">
        <v>1885.2503477236696</v>
      </c>
      <c r="K476">
        <v>9500</v>
      </c>
      <c r="L476" s="5">
        <v>16378.45</v>
      </c>
    </row>
    <row r="477" spans="10:12" x14ac:dyDescent="0.3">
      <c r="J477">
        <v>2042.4035935339782</v>
      </c>
      <c r="K477">
        <v>7500</v>
      </c>
      <c r="L477" s="5">
        <v>24332.67</v>
      </c>
    </row>
    <row r="478" spans="10:12" x14ac:dyDescent="0.3">
      <c r="J478">
        <v>836.54422762290301</v>
      </c>
      <c r="K478">
        <v>5500</v>
      </c>
      <c r="L478" s="5">
        <v>-1918.86</v>
      </c>
    </row>
    <row r="479" spans="10:12" x14ac:dyDescent="0.3">
      <c r="J479">
        <v>1839.9813007295306</v>
      </c>
      <c r="K479">
        <v>5500</v>
      </c>
      <c r="L479" s="5">
        <v>20332.14</v>
      </c>
    </row>
    <row r="480" spans="10:12" x14ac:dyDescent="0.3">
      <c r="J480">
        <v>1581.9012272232037</v>
      </c>
      <c r="K480">
        <v>7500</v>
      </c>
      <c r="L480" s="5">
        <v>14855.53</v>
      </c>
    </row>
    <row r="481" spans="10:12" x14ac:dyDescent="0.3">
      <c r="J481">
        <v>1665.6845512865907</v>
      </c>
      <c r="K481">
        <v>5250</v>
      </c>
      <c r="L481" s="5">
        <v>18151.39</v>
      </c>
    </row>
    <row r="482" spans="10:12" x14ac:dyDescent="0.3">
      <c r="J482">
        <v>1467.3702521230302</v>
      </c>
      <c r="K482">
        <v>4250</v>
      </c>
      <c r="L482" s="5">
        <v>16342.75</v>
      </c>
    </row>
    <row r="483" spans="10:12" x14ac:dyDescent="0.3">
      <c r="J483">
        <v>1848.3318518777928</v>
      </c>
      <c r="K483">
        <v>5500</v>
      </c>
      <c r="L483" s="5">
        <v>20447.88</v>
      </c>
    </row>
    <row r="484" spans="10:12" x14ac:dyDescent="0.3">
      <c r="J484">
        <v>1312.7762240938605</v>
      </c>
      <c r="K484">
        <v>7250</v>
      </c>
      <c r="L484" s="5">
        <v>9017.4500000000007</v>
      </c>
    </row>
    <row r="485" spans="10:12" x14ac:dyDescent="0.3">
      <c r="J485">
        <v>1561.2574049457266</v>
      </c>
      <c r="K485">
        <v>5000</v>
      </c>
      <c r="L485" s="5">
        <v>16930.68</v>
      </c>
    </row>
    <row r="486" spans="10:12" x14ac:dyDescent="0.3">
      <c r="J486">
        <v>1429.4247165818992</v>
      </c>
      <c r="K486">
        <v>8750</v>
      </c>
      <c r="L486" s="5">
        <v>6001.88</v>
      </c>
    </row>
    <row r="487" spans="10:12" x14ac:dyDescent="0.3">
      <c r="J487">
        <v>1386.6959615976766</v>
      </c>
      <c r="K487">
        <v>6250</v>
      </c>
      <c r="L487" s="5">
        <v>13788.2</v>
      </c>
    </row>
    <row r="488" spans="10:12" x14ac:dyDescent="0.3">
      <c r="J488">
        <v>2106.8941891793033</v>
      </c>
      <c r="K488">
        <v>5250</v>
      </c>
      <c r="L488" s="5">
        <v>24266.55</v>
      </c>
    </row>
    <row r="489" spans="10:12" x14ac:dyDescent="0.3">
      <c r="J489">
        <v>2310.7972166529316</v>
      </c>
      <c r="K489">
        <v>8250</v>
      </c>
      <c r="L489" s="5">
        <v>28086.21</v>
      </c>
    </row>
    <row r="490" spans="10:12" x14ac:dyDescent="0.3">
      <c r="J490">
        <v>2085.7265281590262</v>
      </c>
      <c r="K490">
        <v>3500</v>
      </c>
      <c r="L490" s="5">
        <v>21922.06</v>
      </c>
    </row>
    <row r="491" spans="10:12" x14ac:dyDescent="0.3">
      <c r="J491">
        <v>2233.8720155071069</v>
      </c>
      <c r="K491">
        <v>2000</v>
      </c>
      <c r="L491" s="5">
        <v>-1511.62</v>
      </c>
    </row>
    <row r="492" spans="10:12" x14ac:dyDescent="0.3">
      <c r="J492">
        <v>2143.1527907647805</v>
      </c>
      <c r="K492">
        <v>3500</v>
      </c>
      <c r="L492" s="5">
        <v>22211.49</v>
      </c>
    </row>
    <row r="493" spans="10:12" x14ac:dyDescent="0.3">
      <c r="J493">
        <v>1899.031509636083</v>
      </c>
      <c r="K493">
        <v>7250</v>
      </c>
      <c r="L493" s="5">
        <v>21972.07</v>
      </c>
    </row>
    <row r="494" spans="10:12" x14ac:dyDescent="0.3">
      <c r="J494">
        <v>1508.8355145302389</v>
      </c>
      <c r="K494">
        <v>3250</v>
      </c>
      <c r="L494" s="5">
        <v>15549.96</v>
      </c>
    </row>
    <row r="495" spans="10:12" x14ac:dyDescent="0.3">
      <c r="J495">
        <v>1749.0051042632913</v>
      </c>
      <c r="K495">
        <v>5000</v>
      </c>
      <c r="L495" s="5">
        <v>19541.21</v>
      </c>
    </row>
    <row r="496" spans="10:12" x14ac:dyDescent="0.3">
      <c r="J496">
        <v>2441.0484654623497</v>
      </c>
      <c r="K496">
        <v>9000</v>
      </c>
      <c r="L496" s="5">
        <v>28996.78</v>
      </c>
    </row>
    <row r="497" spans="10:12" x14ac:dyDescent="0.3">
      <c r="J497">
        <v>1515.6651697579757</v>
      </c>
      <c r="K497">
        <v>8500</v>
      </c>
      <c r="L497" s="5">
        <v>9833.4500000000007</v>
      </c>
    </row>
    <row r="498" spans="10:12" x14ac:dyDescent="0.3">
      <c r="J498">
        <v>2166.5851915823364</v>
      </c>
      <c r="K498">
        <v>8500</v>
      </c>
      <c r="L498" s="5">
        <v>24528.32</v>
      </c>
    </row>
    <row r="499" spans="10:12" x14ac:dyDescent="0.3">
      <c r="J499">
        <v>2257.595931431134</v>
      </c>
      <c r="K499">
        <v>3250</v>
      </c>
      <c r="L499" s="5">
        <v>19665.78</v>
      </c>
    </row>
    <row r="500" spans="10:12" x14ac:dyDescent="0.3">
      <c r="J500">
        <v>1741.9755094972224</v>
      </c>
      <c r="K500">
        <v>8000</v>
      </c>
      <c r="L500" s="5">
        <v>16969.86</v>
      </c>
    </row>
    <row r="501" spans="10:12" x14ac:dyDescent="0.3">
      <c r="J501">
        <v>1317.7140038302366</v>
      </c>
      <c r="K501">
        <v>9500</v>
      </c>
      <c r="L501" s="5">
        <v>-862.01</v>
      </c>
    </row>
    <row r="502" spans="10:12" x14ac:dyDescent="0.3">
      <c r="J502">
        <v>2105.6234005020797</v>
      </c>
      <c r="K502">
        <v>10000</v>
      </c>
      <c r="L502" s="5">
        <v>19733.73</v>
      </c>
    </row>
    <row r="503" spans="10:12" x14ac:dyDescent="0.3">
      <c r="J503">
        <v>2265.7480252370515</v>
      </c>
      <c r="K503">
        <v>5500</v>
      </c>
      <c r="L503" s="5">
        <v>26233.27</v>
      </c>
    </row>
    <row r="504" spans="10:12" x14ac:dyDescent="0.3">
      <c r="J504">
        <v>1810.0115905602645</v>
      </c>
      <c r="K504">
        <v>2000</v>
      </c>
      <c r="L504" s="5">
        <v>4129.55</v>
      </c>
    </row>
    <row r="505" spans="10:12" x14ac:dyDescent="0.3">
      <c r="J505">
        <v>1937.7983258502038</v>
      </c>
      <c r="K505">
        <v>2500</v>
      </c>
      <c r="L505" s="5">
        <v>12117.36</v>
      </c>
    </row>
    <row r="506" spans="10:12" x14ac:dyDescent="0.3">
      <c r="J506">
        <v>1754.5913438182149</v>
      </c>
      <c r="K506">
        <v>3000</v>
      </c>
      <c r="L506" s="5">
        <v>16493.14</v>
      </c>
    </row>
    <row r="507" spans="10:12" x14ac:dyDescent="0.3">
      <c r="J507">
        <v>2215.5259321612139</v>
      </c>
      <c r="K507">
        <v>8750</v>
      </c>
      <c r="L507" s="5">
        <v>24945.52</v>
      </c>
    </row>
    <row r="508" spans="10:12" x14ac:dyDescent="0.3">
      <c r="J508">
        <v>2000.5785592022344</v>
      </c>
      <c r="K508">
        <v>3000</v>
      </c>
      <c r="L508" s="5">
        <v>17732.919999999998</v>
      </c>
    </row>
    <row r="509" spans="10:12" x14ac:dyDescent="0.3">
      <c r="J509">
        <v>2158.3752487887095</v>
      </c>
      <c r="K509">
        <v>9250</v>
      </c>
      <c r="L509" s="5">
        <v>22589.360000000001</v>
      </c>
    </row>
    <row r="510" spans="10:12" x14ac:dyDescent="0.3">
      <c r="J510">
        <v>1593.3422975327355</v>
      </c>
      <c r="K510">
        <v>4750</v>
      </c>
      <c r="L510" s="5">
        <v>17618.72</v>
      </c>
    </row>
    <row r="511" spans="10:12" x14ac:dyDescent="0.3">
      <c r="J511">
        <v>1430.9701831013076</v>
      </c>
      <c r="K511">
        <v>5000</v>
      </c>
      <c r="L511" s="5">
        <v>14249.37</v>
      </c>
    </row>
    <row r="512" spans="10:12" x14ac:dyDescent="0.3">
      <c r="J512">
        <v>1646.994498645257</v>
      </c>
      <c r="K512">
        <v>1500</v>
      </c>
      <c r="L512" s="5">
        <v>-942.8</v>
      </c>
    </row>
    <row r="513" spans="10:12" x14ac:dyDescent="0.3">
      <c r="J513">
        <v>1628.6502950678357</v>
      </c>
      <c r="K513">
        <v>8750</v>
      </c>
      <c r="L513" s="5">
        <v>12277.48</v>
      </c>
    </row>
    <row r="514" spans="10:12" x14ac:dyDescent="0.3">
      <c r="J514">
        <v>1423.9817989719625</v>
      </c>
      <c r="K514">
        <v>3000</v>
      </c>
      <c r="L514" s="5">
        <v>14786.39</v>
      </c>
    </row>
    <row r="515" spans="10:12" x14ac:dyDescent="0.3">
      <c r="J515">
        <v>1699.4210399999408</v>
      </c>
      <c r="K515">
        <v>2000</v>
      </c>
      <c r="L515" s="5">
        <v>6498.4</v>
      </c>
    </row>
    <row r="516" spans="10:12" x14ac:dyDescent="0.3">
      <c r="J516">
        <v>904.6508988701371</v>
      </c>
      <c r="K516">
        <v>9750</v>
      </c>
      <c r="L516" s="5">
        <v>-14988.5</v>
      </c>
    </row>
    <row r="517" spans="10:12" x14ac:dyDescent="0.3">
      <c r="J517">
        <v>1263.6721048977452</v>
      </c>
      <c r="K517">
        <v>9000</v>
      </c>
      <c r="L517" s="5">
        <v>-334.33</v>
      </c>
    </row>
    <row r="518" spans="10:12" x14ac:dyDescent="0.3">
      <c r="J518">
        <v>1767.5560128622014</v>
      </c>
      <c r="K518">
        <v>2500</v>
      </c>
      <c r="L518" s="5">
        <v>15283.48</v>
      </c>
    </row>
    <row r="519" spans="10:12" x14ac:dyDescent="0.3">
      <c r="J519">
        <v>1801.1183381141454</v>
      </c>
      <c r="K519">
        <v>8750</v>
      </c>
      <c r="L519" s="5">
        <v>16417.02</v>
      </c>
    </row>
    <row r="520" spans="10:12" x14ac:dyDescent="0.3">
      <c r="J520">
        <v>1614.530758611352</v>
      </c>
      <c r="K520">
        <v>9500</v>
      </c>
      <c r="L520" s="5">
        <v>8487.7199999999993</v>
      </c>
    </row>
    <row r="521" spans="10:12" x14ac:dyDescent="0.3">
      <c r="J521">
        <v>2103.6253244217614</v>
      </c>
      <c r="K521">
        <v>2750</v>
      </c>
      <c r="L521" s="5">
        <v>13927.85</v>
      </c>
    </row>
    <row r="522" spans="10:12" x14ac:dyDescent="0.3">
      <c r="J522">
        <v>1742.9037792457632</v>
      </c>
      <c r="K522">
        <v>3500</v>
      </c>
      <c r="L522" s="5">
        <v>20194.240000000002</v>
      </c>
    </row>
    <row r="523" spans="10:12" x14ac:dyDescent="0.3">
      <c r="J523">
        <v>1569.2540095252016</v>
      </c>
      <c r="K523">
        <v>7250</v>
      </c>
      <c r="L523" s="5">
        <v>15185.25</v>
      </c>
    </row>
    <row r="524" spans="10:12" x14ac:dyDescent="0.3">
      <c r="J524">
        <v>1761.9161197134997</v>
      </c>
      <c r="K524">
        <v>7500</v>
      </c>
      <c r="L524" s="5">
        <v>18560.23</v>
      </c>
    </row>
    <row r="525" spans="10:12" x14ac:dyDescent="0.3">
      <c r="J525">
        <v>1836.6253575854407</v>
      </c>
      <c r="K525">
        <v>1250</v>
      </c>
      <c r="L525" s="5">
        <v>-4842.12</v>
      </c>
    </row>
    <row r="526" spans="10:12" x14ac:dyDescent="0.3">
      <c r="J526">
        <v>1136.1910623754652</v>
      </c>
      <c r="K526">
        <v>8500</v>
      </c>
      <c r="L526" s="5">
        <v>-2119.98</v>
      </c>
    </row>
    <row r="527" spans="10:12" x14ac:dyDescent="0.3">
      <c r="J527">
        <v>1402.4525508194265</v>
      </c>
      <c r="K527">
        <v>8000</v>
      </c>
      <c r="L527" s="5">
        <v>8497.26</v>
      </c>
    </row>
    <row r="528" spans="10:12" x14ac:dyDescent="0.3">
      <c r="J528">
        <v>1349.8526774644765</v>
      </c>
      <c r="K528">
        <v>9000</v>
      </c>
      <c r="L528" s="5">
        <v>2380.36</v>
      </c>
    </row>
    <row r="529" spans="10:12" x14ac:dyDescent="0.3">
      <c r="J529">
        <v>1856.6857295198379</v>
      </c>
      <c r="K529">
        <v>10000</v>
      </c>
      <c r="L529" s="5">
        <v>13885.6</v>
      </c>
    </row>
    <row r="530" spans="10:12" x14ac:dyDescent="0.3">
      <c r="J530">
        <v>1809.3041046167809</v>
      </c>
      <c r="K530">
        <v>1250</v>
      </c>
      <c r="L530" s="5">
        <v>-4658.5200000000004</v>
      </c>
    </row>
    <row r="531" spans="10:12" x14ac:dyDescent="0.3">
      <c r="J531">
        <v>1837.319436398021</v>
      </c>
      <c r="K531">
        <v>7000</v>
      </c>
      <c r="L531" s="5">
        <v>21292.03</v>
      </c>
    </row>
    <row r="532" spans="10:12" x14ac:dyDescent="0.3">
      <c r="J532">
        <v>1707.6497363087992</v>
      </c>
      <c r="K532">
        <v>3750</v>
      </c>
      <c r="L532" s="5">
        <v>20143.03</v>
      </c>
    </row>
    <row r="533" spans="10:12" x14ac:dyDescent="0.3">
      <c r="J533">
        <v>1821.9886731874647</v>
      </c>
      <c r="K533">
        <v>1750</v>
      </c>
      <c r="L533" s="5">
        <v>-431.26</v>
      </c>
    </row>
    <row r="534" spans="10:12" x14ac:dyDescent="0.3">
      <c r="J534">
        <v>2209.8727418335666</v>
      </c>
      <c r="K534">
        <v>6500</v>
      </c>
      <c r="L534" s="5">
        <v>28938.84</v>
      </c>
    </row>
    <row r="535" spans="10:12" x14ac:dyDescent="0.3">
      <c r="J535">
        <v>2299.644281509602</v>
      </c>
      <c r="K535">
        <v>4250</v>
      </c>
      <c r="L535" s="5">
        <v>25445.21</v>
      </c>
    </row>
    <row r="536" spans="10:12" x14ac:dyDescent="0.3">
      <c r="J536">
        <v>2019.4845579744617</v>
      </c>
      <c r="K536">
        <v>9000</v>
      </c>
      <c r="L536" s="5">
        <v>20320.990000000002</v>
      </c>
    </row>
    <row r="537" spans="10:12" x14ac:dyDescent="0.3">
      <c r="J537">
        <v>1410.3087337111108</v>
      </c>
      <c r="K537">
        <v>3250</v>
      </c>
      <c r="L537" s="5">
        <v>14184.38</v>
      </c>
    </row>
    <row r="538" spans="10:12" x14ac:dyDescent="0.3">
      <c r="J538">
        <v>2141.0576412107775</v>
      </c>
      <c r="K538">
        <v>6000</v>
      </c>
      <c r="L538" s="5">
        <v>28115.06</v>
      </c>
    </row>
    <row r="539" spans="10:12" x14ac:dyDescent="0.3">
      <c r="J539">
        <v>1533.4197612886398</v>
      </c>
      <c r="K539">
        <v>6750</v>
      </c>
      <c r="L539" s="5">
        <v>15627.78</v>
      </c>
    </row>
    <row r="540" spans="10:12" x14ac:dyDescent="0.3">
      <c r="J540">
        <v>1945.5760709184469</v>
      </c>
      <c r="K540">
        <v>5500</v>
      </c>
      <c r="L540" s="5">
        <v>21795.68</v>
      </c>
    </row>
    <row r="541" spans="10:12" x14ac:dyDescent="0.3">
      <c r="J541">
        <v>2272.823904320197</v>
      </c>
      <c r="K541">
        <v>8000</v>
      </c>
      <c r="L541" s="5">
        <v>27894.720000000001</v>
      </c>
    </row>
    <row r="542" spans="10:12" x14ac:dyDescent="0.3">
      <c r="J542">
        <v>1781.1966495232189</v>
      </c>
      <c r="K542">
        <v>10000</v>
      </c>
      <c r="L542" s="5">
        <v>11507.69</v>
      </c>
    </row>
    <row r="543" spans="10:12" x14ac:dyDescent="0.3">
      <c r="J543">
        <v>1615.4753619321443</v>
      </c>
      <c r="K543">
        <v>7750</v>
      </c>
      <c r="L543" s="5">
        <v>14956.48</v>
      </c>
    </row>
    <row r="544" spans="10:12" x14ac:dyDescent="0.3">
      <c r="J544">
        <v>1852.3107699964503</v>
      </c>
      <c r="K544">
        <v>6250</v>
      </c>
      <c r="L544" s="5">
        <v>23370.560000000001</v>
      </c>
    </row>
    <row r="545" spans="10:12" x14ac:dyDescent="0.3">
      <c r="J545">
        <v>1982.4566154291838</v>
      </c>
      <c r="K545">
        <v>3000</v>
      </c>
      <c r="L545" s="5">
        <v>17641.580000000002</v>
      </c>
    </row>
    <row r="546" spans="10:12" x14ac:dyDescent="0.3">
      <c r="J546">
        <v>1432.1863631993704</v>
      </c>
      <c r="K546">
        <v>4000</v>
      </c>
      <c r="L546" s="5">
        <v>16090.1</v>
      </c>
    </row>
    <row r="547" spans="10:12" x14ac:dyDescent="0.3">
      <c r="J547">
        <v>1578.8987886860823</v>
      </c>
      <c r="K547">
        <v>8500</v>
      </c>
      <c r="L547" s="5">
        <v>11825.31</v>
      </c>
    </row>
    <row r="548" spans="10:12" x14ac:dyDescent="0.3">
      <c r="J548">
        <v>1280.3694601235229</v>
      </c>
      <c r="K548">
        <v>9750</v>
      </c>
      <c r="L548" s="5">
        <v>-3153.36</v>
      </c>
    </row>
    <row r="549" spans="10:12" x14ac:dyDescent="0.3">
      <c r="J549">
        <v>1672.426033364447</v>
      </c>
      <c r="K549">
        <v>1500</v>
      </c>
      <c r="L549" s="5">
        <v>-1113.7</v>
      </c>
    </row>
    <row r="550" spans="10:12" x14ac:dyDescent="0.3">
      <c r="J550">
        <v>1625.7023118133793</v>
      </c>
      <c r="K550">
        <v>1250</v>
      </c>
      <c r="L550" s="5">
        <v>-3424.72</v>
      </c>
    </row>
    <row r="551" spans="10:12" x14ac:dyDescent="0.3">
      <c r="J551">
        <v>1914.4939060231245</v>
      </c>
      <c r="K551">
        <v>3750</v>
      </c>
      <c r="L551" s="5">
        <v>21874.05</v>
      </c>
    </row>
    <row r="552" spans="10:12" x14ac:dyDescent="0.3">
      <c r="J552">
        <v>1572.3700517485377</v>
      </c>
      <c r="K552">
        <v>4000</v>
      </c>
      <c r="L552" s="5">
        <v>18033.05</v>
      </c>
    </row>
    <row r="553" spans="10:12" x14ac:dyDescent="0.3">
      <c r="J553">
        <v>1341.4783338510333</v>
      </c>
      <c r="K553">
        <v>9000</v>
      </c>
      <c r="L553" s="5">
        <v>2116.5700000000002</v>
      </c>
    </row>
    <row r="554" spans="10:12" x14ac:dyDescent="0.3">
      <c r="J554">
        <v>1841.5069885582338</v>
      </c>
      <c r="K554">
        <v>5500</v>
      </c>
      <c r="L554" s="5">
        <v>20353.29</v>
      </c>
    </row>
    <row r="555" spans="10:12" x14ac:dyDescent="0.3">
      <c r="J555">
        <v>1675.3331718690004</v>
      </c>
      <c r="K555">
        <v>6250</v>
      </c>
      <c r="L555" s="5">
        <v>19728.36</v>
      </c>
    </row>
    <row r="556" spans="10:12" x14ac:dyDescent="0.3">
      <c r="J556">
        <v>2130.7123867728246</v>
      </c>
      <c r="K556">
        <v>2750</v>
      </c>
      <c r="L556" s="5">
        <v>13347.64</v>
      </c>
    </row>
    <row r="557" spans="10:12" x14ac:dyDescent="0.3">
      <c r="J557">
        <v>2156.824489843907</v>
      </c>
      <c r="K557">
        <v>2250</v>
      </c>
      <c r="L557" s="5">
        <v>2063.3200000000002</v>
      </c>
    </row>
    <row r="558" spans="10:12" x14ac:dyDescent="0.3">
      <c r="J558">
        <v>1996.8554179732944</v>
      </c>
      <c r="K558">
        <v>3750</v>
      </c>
      <c r="L558" s="5">
        <v>22289.15</v>
      </c>
    </row>
    <row r="559" spans="10:12" x14ac:dyDescent="0.3">
      <c r="J559">
        <v>1867.7097776252012</v>
      </c>
      <c r="K559">
        <v>7000</v>
      </c>
      <c r="L559" s="5">
        <v>21917.47</v>
      </c>
    </row>
    <row r="560" spans="10:12" x14ac:dyDescent="0.3">
      <c r="J560">
        <v>1824.2588152812953</v>
      </c>
      <c r="K560">
        <v>7250</v>
      </c>
      <c r="L560" s="5">
        <v>20433.25</v>
      </c>
    </row>
    <row r="561" spans="10:12" x14ac:dyDescent="0.3">
      <c r="J561">
        <v>1544.2776959130958</v>
      </c>
      <c r="K561">
        <v>8750</v>
      </c>
      <c r="L561" s="5">
        <v>9619.75</v>
      </c>
    </row>
    <row r="562" spans="10:12" x14ac:dyDescent="0.3">
      <c r="J562">
        <v>2048.8222378955361</v>
      </c>
      <c r="K562">
        <v>2750</v>
      </c>
      <c r="L562" s="5">
        <v>15101.73</v>
      </c>
    </row>
    <row r="563" spans="10:12" x14ac:dyDescent="0.3">
      <c r="J563">
        <v>1871.126494348558</v>
      </c>
      <c r="K563">
        <v>3750</v>
      </c>
      <c r="L563" s="5">
        <v>21655.48</v>
      </c>
    </row>
    <row r="564" spans="10:12" x14ac:dyDescent="0.3">
      <c r="J564">
        <v>1773.7928715106345</v>
      </c>
      <c r="K564">
        <v>10000</v>
      </c>
      <c r="L564" s="5">
        <v>11274.48</v>
      </c>
    </row>
    <row r="565" spans="10:12" x14ac:dyDescent="0.3">
      <c r="J565">
        <v>1909.0044540373237</v>
      </c>
      <c r="K565">
        <v>2250</v>
      </c>
      <c r="L565" s="5">
        <v>7371.62</v>
      </c>
    </row>
    <row r="566" spans="10:12" x14ac:dyDescent="0.3">
      <c r="J566">
        <v>1898.4213176485021</v>
      </c>
      <c r="K566">
        <v>1250</v>
      </c>
      <c r="L566" s="5">
        <v>-5257.39</v>
      </c>
    </row>
    <row r="567" spans="10:12" x14ac:dyDescent="0.3">
      <c r="J567">
        <v>2651.5155949572104</v>
      </c>
      <c r="K567">
        <v>3000</v>
      </c>
      <c r="L567" s="5">
        <v>7554.54</v>
      </c>
    </row>
    <row r="568" spans="10:12" x14ac:dyDescent="0.3">
      <c r="J568">
        <v>2264.5832569961453</v>
      </c>
      <c r="K568">
        <v>1750</v>
      </c>
      <c r="L568" s="5">
        <v>-3405.5</v>
      </c>
    </row>
    <row r="569" spans="10:12" x14ac:dyDescent="0.3">
      <c r="J569">
        <v>2278.9153683423365</v>
      </c>
      <c r="K569">
        <v>5750</v>
      </c>
      <c r="L569" s="5">
        <v>26180.77</v>
      </c>
    </row>
    <row r="570" spans="10:12" x14ac:dyDescent="0.3">
      <c r="J570">
        <v>1571.9807067779195</v>
      </c>
      <c r="K570">
        <v>5750</v>
      </c>
      <c r="L570" s="5">
        <v>14871.36</v>
      </c>
    </row>
    <row r="571" spans="10:12" x14ac:dyDescent="0.3">
      <c r="J571">
        <v>2340.7517695079646</v>
      </c>
      <c r="K571">
        <v>1750</v>
      </c>
      <c r="L571" s="5">
        <v>-3917.35</v>
      </c>
    </row>
    <row r="572" spans="10:12" x14ac:dyDescent="0.3">
      <c r="J572">
        <v>2818.0489151142683</v>
      </c>
      <c r="K572">
        <v>6500</v>
      </c>
      <c r="L572" s="5">
        <v>37368.160000000003</v>
      </c>
    </row>
    <row r="573" spans="10:12" x14ac:dyDescent="0.3">
      <c r="J573">
        <v>1381.7290547144669</v>
      </c>
      <c r="K573">
        <v>1750</v>
      </c>
      <c r="L573" s="5">
        <v>7940.86</v>
      </c>
    </row>
    <row r="574" spans="10:12" x14ac:dyDescent="0.3">
      <c r="J574">
        <v>1367.649640453996</v>
      </c>
      <c r="K574">
        <v>8500</v>
      </c>
      <c r="L574" s="5">
        <v>5170.96</v>
      </c>
    </row>
    <row r="575" spans="10:12" x14ac:dyDescent="0.3">
      <c r="J575">
        <v>1554.4328934540072</v>
      </c>
      <c r="K575">
        <v>1500</v>
      </c>
      <c r="L575" s="5">
        <v>-320.79000000000002</v>
      </c>
    </row>
    <row r="576" spans="10:12" x14ac:dyDescent="0.3">
      <c r="J576">
        <v>1809.4985794054007</v>
      </c>
      <c r="K576">
        <v>9000</v>
      </c>
      <c r="L576" s="5">
        <v>15999.48</v>
      </c>
    </row>
    <row r="577" spans="10:12" x14ac:dyDescent="0.3">
      <c r="J577">
        <v>1719.0329536523079</v>
      </c>
      <c r="K577">
        <v>8500</v>
      </c>
      <c r="L577" s="5">
        <v>15317.7</v>
      </c>
    </row>
    <row r="578" spans="10:12" x14ac:dyDescent="0.3">
      <c r="J578">
        <v>1711.7195870701851</v>
      </c>
      <c r="K578">
        <v>8750</v>
      </c>
      <c r="L578" s="5">
        <v>14577.19</v>
      </c>
    </row>
    <row r="579" spans="10:12" x14ac:dyDescent="0.3">
      <c r="J579">
        <v>1512.2924725967077</v>
      </c>
      <c r="K579">
        <v>2750</v>
      </c>
      <c r="L579" s="5">
        <v>14634.45</v>
      </c>
    </row>
    <row r="580" spans="10:12" x14ac:dyDescent="0.3">
      <c r="J580">
        <v>1838.6774092841504</v>
      </c>
      <c r="K580">
        <v>7750</v>
      </c>
      <c r="L580" s="5">
        <v>19549.98</v>
      </c>
    </row>
    <row r="581" spans="10:12" x14ac:dyDescent="0.3">
      <c r="J581">
        <v>1747.2713615039004</v>
      </c>
      <c r="K581">
        <v>9500</v>
      </c>
      <c r="L581" s="5">
        <v>12669.05</v>
      </c>
    </row>
    <row r="582" spans="10:12" x14ac:dyDescent="0.3">
      <c r="J582">
        <v>1417.6838640986416</v>
      </c>
      <c r="K582">
        <v>4000</v>
      </c>
      <c r="L582" s="5">
        <v>15889.1</v>
      </c>
    </row>
    <row r="583" spans="10:12" x14ac:dyDescent="0.3">
      <c r="J583">
        <v>2374.9641517006248</v>
      </c>
      <c r="K583">
        <v>7250</v>
      </c>
      <c r="L583" s="5">
        <v>31032</v>
      </c>
    </row>
    <row r="584" spans="10:12" x14ac:dyDescent="0.3">
      <c r="J584">
        <v>2114.2316311686964</v>
      </c>
      <c r="K584">
        <v>9250</v>
      </c>
      <c r="L584" s="5">
        <v>21680.89</v>
      </c>
    </row>
    <row r="585" spans="10:12" x14ac:dyDescent="0.3">
      <c r="J585">
        <v>1966.7165524752377</v>
      </c>
      <c r="K585">
        <v>5750</v>
      </c>
      <c r="L585" s="5">
        <v>21853.69</v>
      </c>
    </row>
    <row r="586" spans="10:12" x14ac:dyDescent="0.3">
      <c r="J586">
        <v>1445.1319843739514</v>
      </c>
      <c r="K586">
        <v>8250</v>
      </c>
      <c r="L586" s="5">
        <v>8726.66</v>
      </c>
    </row>
    <row r="587" spans="10:12" x14ac:dyDescent="0.3">
      <c r="J587">
        <v>1524.9460641492631</v>
      </c>
      <c r="K587">
        <v>10000</v>
      </c>
      <c r="L587" s="5">
        <v>3435.8</v>
      </c>
    </row>
    <row r="588" spans="10:12" x14ac:dyDescent="0.3">
      <c r="J588">
        <v>1445.2778622786332</v>
      </c>
      <c r="K588">
        <v>5500</v>
      </c>
      <c r="L588" s="5">
        <v>13023.82</v>
      </c>
    </row>
    <row r="589" spans="10:12" x14ac:dyDescent="0.3">
      <c r="J589">
        <v>1296.9784204226964</v>
      </c>
      <c r="K589">
        <v>2000</v>
      </c>
      <c r="L589" s="5">
        <v>11636.77</v>
      </c>
    </row>
    <row r="590" spans="10:12" x14ac:dyDescent="0.3">
      <c r="J590">
        <v>2081.6205118237644</v>
      </c>
      <c r="K590">
        <v>7000</v>
      </c>
      <c r="L590" s="5">
        <v>26319.75</v>
      </c>
    </row>
    <row r="591" spans="10:12" x14ac:dyDescent="0.3">
      <c r="J591">
        <v>1776.2589171126074</v>
      </c>
      <c r="K591">
        <v>7000</v>
      </c>
      <c r="L591" s="5">
        <v>20035.41</v>
      </c>
    </row>
    <row r="592" spans="10:12" x14ac:dyDescent="0.3">
      <c r="J592">
        <v>1917.9128968316147</v>
      </c>
      <c r="K592">
        <v>3500</v>
      </c>
      <c r="L592" s="5">
        <v>21076.28</v>
      </c>
    </row>
    <row r="593" spans="10:12" x14ac:dyDescent="0.3">
      <c r="J593">
        <v>2040.1731921885746</v>
      </c>
      <c r="K593">
        <v>8750</v>
      </c>
      <c r="L593" s="5">
        <v>21336.76</v>
      </c>
    </row>
    <row r="594" spans="10:12" x14ac:dyDescent="0.3">
      <c r="J594">
        <v>1480.0172598929207</v>
      </c>
      <c r="K594">
        <v>5000</v>
      </c>
      <c r="L594" s="5">
        <v>15258.76</v>
      </c>
    </row>
    <row r="595" spans="10:12" x14ac:dyDescent="0.3">
      <c r="J595">
        <v>1696.3128766350685</v>
      </c>
      <c r="K595">
        <v>1750</v>
      </c>
      <c r="L595" s="5">
        <v>1202.48</v>
      </c>
    </row>
    <row r="596" spans="10:12" x14ac:dyDescent="0.3">
      <c r="J596">
        <v>1174.2553289878779</v>
      </c>
      <c r="K596">
        <v>9750</v>
      </c>
      <c r="L596" s="5">
        <v>-6495.96</v>
      </c>
    </row>
    <row r="597" spans="10:12" x14ac:dyDescent="0.3">
      <c r="J597">
        <v>2013.6362171188389</v>
      </c>
      <c r="K597">
        <v>3250</v>
      </c>
      <c r="L597" s="5">
        <v>18436.23</v>
      </c>
    </row>
    <row r="598" spans="10:12" x14ac:dyDescent="0.3">
      <c r="J598">
        <v>2220.4847167396924</v>
      </c>
      <c r="K598">
        <v>5000</v>
      </c>
      <c r="L598" s="5">
        <v>26075.919999999998</v>
      </c>
    </row>
    <row r="599" spans="10:12" x14ac:dyDescent="0.3">
      <c r="J599">
        <v>1802.8055359815587</v>
      </c>
      <c r="K599">
        <v>2750</v>
      </c>
      <c r="L599" s="5">
        <v>16098.64</v>
      </c>
    </row>
    <row r="600" spans="10:12" x14ac:dyDescent="0.3">
      <c r="J600">
        <v>1206.0049134692883</v>
      </c>
      <c r="K600">
        <v>8000</v>
      </c>
      <c r="L600" s="5">
        <v>2309.15</v>
      </c>
    </row>
    <row r="601" spans="10:12" x14ac:dyDescent="0.3">
      <c r="J601">
        <v>1564.2660897493304</v>
      </c>
      <c r="K601">
        <v>5000</v>
      </c>
      <c r="L601" s="5">
        <v>16980.73</v>
      </c>
    </row>
    <row r="602" spans="10:12" x14ac:dyDescent="0.3">
      <c r="J602">
        <v>1771.9071268527314</v>
      </c>
      <c r="K602">
        <v>5250</v>
      </c>
      <c r="L602" s="5">
        <v>19623.63</v>
      </c>
    </row>
    <row r="603" spans="10:12" x14ac:dyDescent="0.3">
      <c r="J603">
        <v>1229.9163509805248</v>
      </c>
      <c r="K603">
        <v>2500</v>
      </c>
      <c r="L603" s="5">
        <v>12573.78</v>
      </c>
    </row>
    <row r="604" spans="10:12" x14ac:dyDescent="0.3">
      <c r="J604">
        <v>1936.1862244399263</v>
      </c>
      <c r="K604">
        <v>4000</v>
      </c>
      <c r="L604" s="5">
        <v>22798.38</v>
      </c>
    </row>
    <row r="605" spans="10:12" x14ac:dyDescent="0.3">
      <c r="J605">
        <v>1164.8496564240809</v>
      </c>
      <c r="K605">
        <v>3000</v>
      </c>
      <c r="L605" s="5">
        <v>11194.82</v>
      </c>
    </row>
    <row r="606" spans="10:12" x14ac:dyDescent="0.3">
      <c r="J606">
        <v>1535.8036336235614</v>
      </c>
      <c r="K606">
        <v>5000</v>
      </c>
      <c r="L606" s="5">
        <v>16406.84</v>
      </c>
    </row>
    <row r="607" spans="10:12" x14ac:dyDescent="0.3">
      <c r="J607">
        <v>1462.1526027299992</v>
      </c>
      <c r="K607">
        <v>6000</v>
      </c>
      <c r="L607" s="5">
        <v>15931.1</v>
      </c>
    </row>
    <row r="608" spans="10:12" x14ac:dyDescent="0.3">
      <c r="J608">
        <v>2034.0602832221534</v>
      </c>
      <c r="K608">
        <v>8000</v>
      </c>
      <c r="L608" s="5">
        <v>22980.959999999999</v>
      </c>
    </row>
    <row r="609" spans="10:12" x14ac:dyDescent="0.3">
      <c r="J609">
        <v>1169.1512635378594</v>
      </c>
      <c r="K609">
        <v>7250</v>
      </c>
      <c r="L609" s="5">
        <v>4493.26</v>
      </c>
    </row>
    <row r="610" spans="10:12" x14ac:dyDescent="0.3">
      <c r="J610">
        <v>2459.9465048452435</v>
      </c>
      <c r="K610">
        <v>2000</v>
      </c>
      <c r="L610" s="5">
        <v>-3030.84</v>
      </c>
    </row>
    <row r="611" spans="10:12" x14ac:dyDescent="0.3">
      <c r="J611">
        <v>1596.0579729597707</v>
      </c>
      <c r="K611">
        <v>5750</v>
      </c>
      <c r="L611" s="5">
        <v>15366.87</v>
      </c>
    </row>
    <row r="612" spans="10:12" x14ac:dyDescent="0.3">
      <c r="J612">
        <v>1997.7451381954691</v>
      </c>
      <c r="K612">
        <v>4750</v>
      </c>
      <c r="L612" s="5">
        <v>23223.75</v>
      </c>
    </row>
    <row r="613" spans="10:12" x14ac:dyDescent="0.3">
      <c r="J613">
        <v>1313.6319034614542</v>
      </c>
      <c r="K613">
        <v>2000</v>
      </c>
      <c r="L613" s="5">
        <v>11720.7</v>
      </c>
    </row>
    <row r="614" spans="10:12" x14ac:dyDescent="0.3">
      <c r="J614">
        <v>1646.6654444665517</v>
      </c>
      <c r="K614">
        <v>2500</v>
      </c>
      <c r="L614" s="5">
        <v>14674.19</v>
      </c>
    </row>
    <row r="615" spans="10:12" x14ac:dyDescent="0.3">
      <c r="J615">
        <v>1802.6212712719962</v>
      </c>
      <c r="K615">
        <v>3000</v>
      </c>
      <c r="L615" s="5">
        <v>16735.21</v>
      </c>
    </row>
    <row r="616" spans="10:12" x14ac:dyDescent="0.3">
      <c r="J616">
        <v>2281.4556308522529</v>
      </c>
      <c r="K616">
        <v>5750</v>
      </c>
      <c r="L616" s="5">
        <v>26215.98</v>
      </c>
    </row>
    <row r="617" spans="10:12" x14ac:dyDescent="0.3">
      <c r="J617">
        <v>2281.7323012020961</v>
      </c>
      <c r="K617">
        <v>9000</v>
      </c>
      <c r="L617" s="5">
        <v>25718.05</v>
      </c>
    </row>
    <row r="618" spans="10:12" x14ac:dyDescent="0.3">
      <c r="J618">
        <v>2343.400289580813</v>
      </c>
      <c r="K618">
        <v>8250</v>
      </c>
      <c r="L618" s="5">
        <v>28757.18</v>
      </c>
    </row>
    <row r="619" spans="10:12" x14ac:dyDescent="0.3">
      <c r="J619">
        <v>1426.712006665246</v>
      </c>
      <c r="K619">
        <v>5000</v>
      </c>
      <c r="L619" s="5">
        <v>14161.73</v>
      </c>
    </row>
    <row r="620" spans="10:12" x14ac:dyDescent="0.3">
      <c r="J620">
        <v>1518.9575133113713</v>
      </c>
      <c r="K620">
        <v>4000</v>
      </c>
      <c r="L620" s="5">
        <v>17292.75</v>
      </c>
    </row>
    <row r="621" spans="10:12" x14ac:dyDescent="0.3">
      <c r="J621">
        <v>1694.3830068850048</v>
      </c>
      <c r="K621">
        <v>5500</v>
      </c>
      <c r="L621" s="5">
        <v>18150.400000000001</v>
      </c>
    </row>
    <row r="622" spans="10:12" x14ac:dyDescent="0.3">
      <c r="J622">
        <v>1336.5333319075999</v>
      </c>
      <c r="K622">
        <v>6000</v>
      </c>
      <c r="L622" s="5">
        <v>13345.86</v>
      </c>
    </row>
    <row r="623" spans="10:12" x14ac:dyDescent="0.3">
      <c r="J623">
        <v>1406.3270042647591</v>
      </c>
      <c r="K623">
        <v>10000</v>
      </c>
      <c r="L623" s="5">
        <v>-300.7</v>
      </c>
    </row>
    <row r="624" spans="10:12" x14ac:dyDescent="0.3">
      <c r="J624">
        <v>1847.4597168549542</v>
      </c>
      <c r="K624">
        <v>2500</v>
      </c>
      <c r="L624" s="5">
        <v>14052.41</v>
      </c>
    </row>
    <row r="625" spans="10:12" x14ac:dyDescent="0.3">
      <c r="J625">
        <v>1283.6937383466975</v>
      </c>
      <c r="K625">
        <v>3000</v>
      </c>
      <c r="L625" s="5">
        <v>12842</v>
      </c>
    </row>
    <row r="626" spans="10:12" x14ac:dyDescent="0.3">
      <c r="J626">
        <v>2216.0090198886096</v>
      </c>
      <c r="K626">
        <v>5750</v>
      </c>
      <c r="L626" s="5">
        <v>25308.89</v>
      </c>
    </row>
    <row r="627" spans="10:12" x14ac:dyDescent="0.3">
      <c r="J627">
        <v>2065.6449641733288</v>
      </c>
      <c r="K627">
        <v>5750</v>
      </c>
      <c r="L627" s="5">
        <v>23224.84</v>
      </c>
    </row>
    <row r="628" spans="10:12" x14ac:dyDescent="0.3">
      <c r="J628">
        <v>1477.1879158533602</v>
      </c>
      <c r="K628">
        <v>5000</v>
      </c>
      <c r="L628" s="5">
        <v>15200.53</v>
      </c>
    </row>
    <row r="629" spans="10:12" x14ac:dyDescent="0.3">
      <c r="J629">
        <v>1821.9613328123282</v>
      </c>
      <c r="K629">
        <v>1250</v>
      </c>
      <c r="L629" s="5">
        <v>-4743.58</v>
      </c>
    </row>
    <row r="630" spans="10:12" x14ac:dyDescent="0.3">
      <c r="J630">
        <v>1718.6492028376426</v>
      </c>
      <c r="K630">
        <v>3750</v>
      </c>
      <c r="L630" s="5">
        <v>20295.48</v>
      </c>
    </row>
    <row r="631" spans="10:12" x14ac:dyDescent="0.3">
      <c r="J631">
        <v>2171.1048725718388</v>
      </c>
      <c r="K631">
        <v>9000</v>
      </c>
      <c r="L631" s="5">
        <v>23441.34</v>
      </c>
    </row>
    <row r="632" spans="10:12" x14ac:dyDescent="0.3">
      <c r="J632">
        <v>1682.159945825229</v>
      </c>
      <c r="K632">
        <v>7250</v>
      </c>
      <c r="L632" s="5">
        <v>17508.849999999999</v>
      </c>
    </row>
    <row r="633" spans="10:12" x14ac:dyDescent="0.3">
      <c r="J633">
        <v>2023.7314383557302</v>
      </c>
      <c r="K633">
        <v>1500</v>
      </c>
      <c r="L633" s="5">
        <v>-3474.48</v>
      </c>
    </row>
    <row r="634" spans="10:12" x14ac:dyDescent="0.3">
      <c r="J634">
        <v>2442.4074384877003</v>
      </c>
      <c r="K634">
        <v>3500</v>
      </c>
      <c r="L634" s="5">
        <v>23719.73</v>
      </c>
    </row>
    <row r="635" spans="10:12" x14ac:dyDescent="0.3">
      <c r="J635">
        <v>1469.7529989929085</v>
      </c>
      <c r="K635">
        <v>3500</v>
      </c>
      <c r="L635" s="5">
        <v>17080.78</v>
      </c>
    </row>
    <row r="636" spans="10:12" x14ac:dyDescent="0.3">
      <c r="J636">
        <v>1435.5754110369166</v>
      </c>
      <c r="K636">
        <v>4750</v>
      </c>
      <c r="L636" s="5">
        <v>15104.14</v>
      </c>
    </row>
    <row r="637" spans="10:12" x14ac:dyDescent="0.3">
      <c r="J637">
        <v>2638.0006218681319</v>
      </c>
      <c r="K637">
        <v>2000</v>
      </c>
      <c r="L637" s="5">
        <v>-4227.3599999999997</v>
      </c>
    </row>
    <row r="638" spans="10:12" x14ac:dyDescent="0.3">
      <c r="J638">
        <v>2818.6951400813959</v>
      </c>
      <c r="K638">
        <v>5500</v>
      </c>
      <c r="L638" s="5">
        <v>32136.22</v>
      </c>
    </row>
    <row r="639" spans="10:12" x14ac:dyDescent="0.3">
      <c r="J639">
        <v>1507.3665101199413</v>
      </c>
      <c r="K639">
        <v>8750</v>
      </c>
      <c r="L639" s="5">
        <v>8457.0499999999993</v>
      </c>
    </row>
    <row r="640" spans="10:12" x14ac:dyDescent="0.3">
      <c r="J640">
        <v>1543.1974507877837</v>
      </c>
      <c r="K640">
        <v>8750</v>
      </c>
      <c r="L640" s="5">
        <v>9585.7199999999993</v>
      </c>
    </row>
    <row r="641" spans="10:12" x14ac:dyDescent="0.3">
      <c r="J641">
        <v>2392.8813885292948</v>
      </c>
      <c r="K641">
        <v>6250</v>
      </c>
      <c r="L641" s="5">
        <v>31540.34</v>
      </c>
    </row>
    <row r="642" spans="10:12" x14ac:dyDescent="0.3">
      <c r="J642">
        <v>1677.9137927048589</v>
      </c>
      <c r="K642">
        <v>3250</v>
      </c>
      <c r="L642" s="5">
        <v>16744.189999999999</v>
      </c>
    </row>
    <row r="643" spans="10:12" x14ac:dyDescent="0.3">
      <c r="J643">
        <v>1708.4157853882398</v>
      </c>
      <c r="K643">
        <v>1250</v>
      </c>
      <c r="L643" s="5">
        <v>-3980.55</v>
      </c>
    </row>
    <row r="644" spans="10:12" x14ac:dyDescent="0.3">
      <c r="J644">
        <v>2084.98242730422</v>
      </c>
      <c r="K644">
        <v>4750</v>
      </c>
      <c r="L644" s="5">
        <v>24432.86</v>
      </c>
    </row>
    <row r="645" spans="10:12" x14ac:dyDescent="0.3">
      <c r="J645">
        <v>2526.0369444072121</v>
      </c>
      <c r="K645">
        <v>7250</v>
      </c>
      <c r="L645" s="5">
        <v>33125.870000000003</v>
      </c>
    </row>
    <row r="646" spans="10:12" x14ac:dyDescent="0.3">
      <c r="J646">
        <v>1597.027933482115</v>
      </c>
      <c r="K646">
        <v>7250</v>
      </c>
      <c r="L646" s="5">
        <v>15756.83</v>
      </c>
    </row>
    <row r="647" spans="10:12" x14ac:dyDescent="0.3">
      <c r="J647">
        <v>1453.6988864838606</v>
      </c>
      <c r="K647">
        <v>2000</v>
      </c>
      <c r="L647" s="5">
        <v>11761.77</v>
      </c>
    </row>
    <row r="648" spans="10:12" x14ac:dyDescent="0.3">
      <c r="J648">
        <v>1593.0085189642464</v>
      </c>
      <c r="K648">
        <v>5500</v>
      </c>
      <c r="L648" s="5">
        <v>16064.12</v>
      </c>
    </row>
    <row r="649" spans="10:12" x14ac:dyDescent="0.3">
      <c r="J649">
        <v>1218.4461094200551</v>
      </c>
      <c r="K649">
        <v>9000</v>
      </c>
      <c r="L649" s="5">
        <v>-1758.95</v>
      </c>
    </row>
    <row r="650" spans="10:12" x14ac:dyDescent="0.3">
      <c r="J650">
        <v>1500.6911345851195</v>
      </c>
      <c r="K650">
        <v>3500</v>
      </c>
      <c r="L650" s="5">
        <v>17509.580000000002</v>
      </c>
    </row>
    <row r="651" spans="10:12" x14ac:dyDescent="0.3">
      <c r="J651">
        <v>1314.3735159810683</v>
      </c>
      <c r="K651">
        <v>10000</v>
      </c>
      <c r="L651" s="5">
        <v>-3197.23</v>
      </c>
    </row>
    <row r="652" spans="10:12" x14ac:dyDescent="0.3">
      <c r="J652">
        <v>1449.0037960229999</v>
      </c>
      <c r="K652">
        <v>6250</v>
      </c>
      <c r="L652" s="5">
        <v>15070.5</v>
      </c>
    </row>
    <row r="653" spans="10:12" x14ac:dyDescent="0.3">
      <c r="J653">
        <v>1502.7035754513258</v>
      </c>
      <c r="K653">
        <v>3250</v>
      </c>
      <c r="L653" s="5">
        <v>15464.97</v>
      </c>
    </row>
    <row r="654" spans="10:12" x14ac:dyDescent="0.3">
      <c r="J654">
        <v>2172.2352079651696</v>
      </c>
      <c r="K654">
        <v>8500</v>
      </c>
      <c r="L654" s="5">
        <v>24644.6</v>
      </c>
    </row>
    <row r="655" spans="10:12" x14ac:dyDescent="0.3">
      <c r="J655">
        <v>1795.9565170894155</v>
      </c>
      <c r="K655">
        <v>4500</v>
      </c>
      <c r="L655" s="5">
        <v>20661.96</v>
      </c>
    </row>
    <row r="656" spans="10:12" x14ac:dyDescent="0.3">
      <c r="J656">
        <v>2140.7424319060219</v>
      </c>
      <c r="K656">
        <v>3500</v>
      </c>
      <c r="L656" s="5">
        <v>22199.34</v>
      </c>
    </row>
    <row r="657" spans="10:12" x14ac:dyDescent="0.3">
      <c r="J657">
        <v>1648.646623645848</v>
      </c>
      <c r="K657">
        <v>4500</v>
      </c>
      <c r="L657" s="5">
        <v>18620.240000000002</v>
      </c>
    </row>
    <row r="658" spans="10:12" x14ac:dyDescent="0.3">
      <c r="J658">
        <v>2150.0428363350638</v>
      </c>
      <c r="K658">
        <v>2250</v>
      </c>
      <c r="L658" s="5">
        <v>2208.58</v>
      </c>
    </row>
    <row r="659" spans="10:12" x14ac:dyDescent="0.3">
      <c r="J659">
        <v>1790.6846691650856</v>
      </c>
      <c r="K659">
        <v>1250</v>
      </c>
      <c r="L659" s="5">
        <v>-4533.3999999999996</v>
      </c>
    </row>
    <row r="660" spans="10:12" x14ac:dyDescent="0.3">
      <c r="J660">
        <v>1498.5763673893916</v>
      </c>
      <c r="K660">
        <v>3000</v>
      </c>
      <c r="L660" s="5">
        <v>15202.82</v>
      </c>
    </row>
    <row r="661" spans="10:12" x14ac:dyDescent="0.3">
      <c r="J661">
        <v>1577.884723135996</v>
      </c>
      <c r="K661">
        <v>2250</v>
      </c>
      <c r="L661" s="5">
        <v>13690.04</v>
      </c>
    </row>
    <row r="662" spans="10:12" x14ac:dyDescent="0.3">
      <c r="J662">
        <v>1766.7396942420769</v>
      </c>
      <c r="K662">
        <v>9750</v>
      </c>
      <c r="L662" s="5">
        <v>12167.3</v>
      </c>
    </row>
    <row r="663" spans="10:12" x14ac:dyDescent="0.3">
      <c r="J663">
        <v>2180.5607005731431</v>
      </c>
      <c r="K663">
        <v>8250</v>
      </c>
      <c r="L663" s="5">
        <v>25405.94</v>
      </c>
    </row>
    <row r="664" spans="10:12" x14ac:dyDescent="0.3">
      <c r="J664">
        <v>2148.9264712569257</v>
      </c>
      <c r="K664">
        <v>9250</v>
      </c>
      <c r="L664" s="5">
        <v>22394.91</v>
      </c>
    </row>
    <row r="665" spans="10:12" x14ac:dyDescent="0.3">
      <c r="J665">
        <v>1919.6462778594537</v>
      </c>
      <c r="K665">
        <v>3750</v>
      </c>
      <c r="L665" s="5">
        <v>21900.02</v>
      </c>
    </row>
    <row r="666" spans="10:12" x14ac:dyDescent="0.3">
      <c r="J666">
        <v>1501.4761394213963</v>
      </c>
      <c r="K666">
        <v>7000</v>
      </c>
      <c r="L666" s="5">
        <v>14380.38</v>
      </c>
    </row>
    <row r="667" spans="10:12" x14ac:dyDescent="0.3">
      <c r="J667">
        <v>1342.0219894788354</v>
      </c>
      <c r="K667">
        <v>7500</v>
      </c>
      <c r="L667" s="5">
        <v>8823.69</v>
      </c>
    </row>
    <row r="668" spans="10:12" x14ac:dyDescent="0.3">
      <c r="J668">
        <v>928.39311503177612</v>
      </c>
      <c r="K668">
        <v>5500</v>
      </c>
      <c r="L668" s="5">
        <v>974.38</v>
      </c>
    </row>
    <row r="669" spans="10:12" x14ac:dyDescent="0.3">
      <c r="J669">
        <v>1627.2531420188684</v>
      </c>
      <c r="K669">
        <v>4750</v>
      </c>
      <c r="L669" s="5">
        <v>18088.73</v>
      </c>
    </row>
    <row r="670" spans="10:12" x14ac:dyDescent="0.3">
      <c r="J670">
        <v>2124.4207815246045</v>
      </c>
      <c r="K670">
        <v>4000</v>
      </c>
      <c r="L670" s="5">
        <v>23747.08</v>
      </c>
    </row>
    <row r="671" spans="10:12" x14ac:dyDescent="0.3">
      <c r="J671">
        <v>1519.5095031895162</v>
      </c>
      <c r="K671">
        <v>6250</v>
      </c>
      <c r="L671" s="5">
        <v>16521.509999999998</v>
      </c>
    </row>
    <row r="672" spans="10:12" x14ac:dyDescent="0.3">
      <c r="J672">
        <v>1554.5838232161441</v>
      </c>
      <c r="K672">
        <v>5250</v>
      </c>
      <c r="L672" s="5">
        <v>16033.34</v>
      </c>
    </row>
    <row r="673" spans="10:12" x14ac:dyDescent="0.3">
      <c r="J673">
        <v>1322.738137063136</v>
      </c>
      <c r="K673">
        <v>4500</v>
      </c>
      <c r="L673" s="5">
        <v>13541.95</v>
      </c>
    </row>
    <row r="674" spans="10:12" x14ac:dyDescent="0.3">
      <c r="J674">
        <v>1565.0044541219986</v>
      </c>
      <c r="K674">
        <v>2750</v>
      </c>
      <c r="L674" s="5">
        <v>14900.12</v>
      </c>
    </row>
    <row r="675" spans="10:12" x14ac:dyDescent="0.3">
      <c r="J675">
        <v>1340.5367780976826</v>
      </c>
      <c r="K675">
        <v>4750</v>
      </c>
      <c r="L675" s="5">
        <v>13148.25</v>
      </c>
    </row>
    <row r="676" spans="10:12" x14ac:dyDescent="0.3">
      <c r="J676">
        <v>1705.9367554338355</v>
      </c>
      <c r="K676">
        <v>9500</v>
      </c>
      <c r="L676" s="5">
        <v>11367.01</v>
      </c>
    </row>
    <row r="677" spans="10:12" x14ac:dyDescent="0.3">
      <c r="J677">
        <v>1587.1952437907805</v>
      </c>
      <c r="K677">
        <v>6250</v>
      </c>
      <c r="L677" s="5">
        <v>17914.48</v>
      </c>
    </row>
    <row r="678" spans="10:12" x14ac:dyDescent="0.3">
      <c r="J678">
        <v>1877.6549933663077</v>
      </c>
      <c r="K678">
        <v>6500</v>
      </c>
      <c r="L678" s="5">
        <v>23302.14</v>
      </c>
    </row>
    <row r="679" spans="10:12" x14ac:dyDescent="0.3">
      <c r="J679">
        <v>1583.476921975544</v>
      </c>
      <c r="K679">
        <v>1750</v>
      </c>
      <c r="L679" s="5">
        <v>3619.42</v>
      </c>
    </row>
    <row r="680" spans="10:12" x14ac:dyDescent="0.3">
      <c r="J680">
        <v>2435.9965072855803</v>
      </c>
      <c r="K680">
        <v>7000</v>
      </c>
      <c r="L680" s="5">
        <v>31942.91</v>
      </c>
    </row>
    <row r="681" spans="10:12" x14ac:dyDescent="0.3">
      <c r="J681">
        <v>1801.1476302965305</v>
      </c>
      <c r="K681">
        <v>2250</v>
      </c>
      <c r="L681" s="5">
        <v>9681.92</v>
      </c>
    </row>
    <row r="682" spans="10:12" x14ac:dyDescent="0.3">
      <c r="J682">
        <v>1140.5587568008877</v>
      </c>
      <c r="K682">
        <v>6000</v>
      </c>
      <c r="L682" s="5">
        <v>9167.6</v>
      </c>
    </row>
    <row r="683" spans="10:12" x14ac:dyDescent="0.3">
      <c r="J683">
        <v>1566.6018027852538</v>
      </c>
      <c r="K683">
        <v>3750</v>
      </c>
      <c r="L683" s="5">
        <v>18188.099999999999</v>
      </c>
    </row>
    <row r="684" spans="10:12" x14ac:dyDescent="0.3">
      <c r="J684">
        <v>1774.0102232277609</v>
      </c>
      <c r="K684">
        <v>6250</v>
      </c>
      <c r="L684" s="5">
        <v>21759.13</v>
      </c>
    </row>
    <row r="685" spans="10:12" x14ac:dyDescent="0.3">
      <c r="J685">
        <v>1494.7057220125505</v>
      </c>
      <c r="K685">
        <v>3250</v>
      </c>
      <c r="L685" s="5">
        <v>15354.12</v>
      </c>
    </row>
    <row r="686" spans="10:12" x14ac:dyDescent="0.3">
      <c r="J686">
        <v>1955.2896516659034</v>
      </c>
      <c r="K686">
        <v>2000</v>
      </c>
      <c r="L686" s="5">
        <v>1017.7</v>
      </c>
    </row>
    <row r="687" spans="10:12" x14ac:dyDescent="0.3">
      <c r="J687">
        <v>1830.7916699993627</v>
      </c>
      <c r="K687">
        <v>3500</v>
      </c>
      <c r="L687" s="5">
        <v>20637.189999999999</v>
      </c>
    </row>
    <row r="688" spans="10:12" x14ac:dyDescent="0.3">
      <c r="J688">
        <v>1908.4634256488591</v>
      </c>
      <c r="K688">
        <v>8750</v>
      </c>
      <c r="L688" s="5">
        <v>18626.18</v>
      </c>
    </row>
    <row r="689" spans="10:12" x14ac:dyDescent="0.3">
      <c r="J689">
        <v>1209.2096252179954</v>
      </c>
      <c r="K689">
        <v>3000</v>
      </c>
      <c r="L689" s="5">
        <v>11809.65</v>
      </c>
    </row>
    <row r="690" spans="10:12" x14ac:dyDescent="0.3">
      <c r="J690">
        <v>1525.4975571549762</v>
      </c>
      <c r="K690">
        <v>6500</v>
      </c>
      <c r="L690" s="5">
        <v>16054.74</v>
      </c>
    </row>
    <row r="691" spans="10:12" x14ac:dyDescent="0.3">
      <c r="J691">
        <v>1535.2592847338369</v>
      </c>
      <c r="K691">
        <v>7500</v>
      </c>
      <c r="L691" s="5">
        <v>13895.64</v>
      </c>
    </row>
    <row r="692" spans="10:12" x14ac:dyDescent="0.3">
      <c r="J692">
        <v>1992.3650811403722</v>
      </c>
      <c r="K692">
        <v>3000</v>
      </c>
      <c r="L692" s="5">
        <v>17691.52</v>
      </c>
    </row>
    <row r="693" spans="10:12" x14ac:dyDescent="0.3">
      <c r="J693">
        <v>2416.5917294293122</v>
      </c>
      <c r="K693">
        <v>6500</v>
      </c>
      <c r="L693" s="5">
        <v>31803.96</v>
      </c>
    </row>
    <row r="694" spans="10:12" x14ac:dyDescent="0.3">
      <c r="J694">
        <v>1983.5254954813824</v>
      </c>
      <c r="K694">
        <v>2500</v>
      </c>
      <c r="L694" s="5">
        <v>11137.88</v>
      </c>
    </row>
    <row r="695" spans="10:12" x14ac:dyDescent="0.3">
      <c r="J695">
        <v>1144.8395080345513</v>
      </c>
      <c r="K695">
        <v>3000</v>
      </c>
      <c r="L695" s="5">
        <v>10917.48</v>
      </c>
    </row>
    <row r="696" spans="10:12" x14ac:dyDescent="0.3">
      <c r="J696">
        <v>1922.7312364163213</v>
      </c>
      <c r="K696">
        <v>3000</v>
      </c>
      <c r="L696" s="5">
        <v>17340.57</v>
      </c>
    </row>
    <row r="697" spans="10:12" x14ac:dyDescent="0.3">
      <c r="J697">
        <v>1765.2754849335861</v>
      </c>
      <c r="K697">
        <v>8500</v>
      </c>
      <c r="L697" s="5">
        <v>16269.37</v>
      </c>
    </row>
    <row r="698" spans="10:12" x14ac:dyDescent="0.3">
      <c r="J698">
        <v>1510.6601334878146</v>
      </c>
      <c r="K698">
        <v>1250</v>
      </c>
      <c r="L698" s="5">
        <v>-2651.64</v>
      </c>
    </row>
    <row r="699" spans="10:12" x14ac:dyDescent="0.3">
      <c r="J699">
        <v>1446.0368154424821</v>
      </c>
      <c r="K699">
        <v>8750</v>
      </c>
      <c r="L699" s="5">
        <v>6525.16</v>
      </c>
    </row>
    <row r="700" spans="10:12" x14ac:dyDescent="0.3">
      <c r="J700">
        <v>2046.5846877163572</v>
      </c>
      <c r="K700">
        <v>3750</v>
      </c>
      <c r="L700" s="5">
        <v>22539.79</v>
      </c>
    </row>
    <row r="701" spans="10:12" x14ac:dyDescent="0.3">
      <c r="J701">
        <v>1988.4713604864478</v>
      </c>
      <c r="K701">
        <v>1500</v>
      </c>
      <c r="L701" s="5">
        <v>-3237.53</v>
      </c>
    </row>
    <row r="702" spans="10:12" x14ac:dyDescent="0.3">
      <c r="J702">
        <v>1018.2967108880523</v>
      </c>
      <c r="K702">
        <v>2750</v>
      </c>
      <c r="L702" s="5">
        <v>9576.09</v>
      </c>
    </row>
    <row r="703" spans="10:12" x14ac:dyDescent="0.3">
      <c r="J703">
        <v>1980.3047947209393</v>
      </c>
      <c r="K703">
        <v>4250</v>
      </c>
      <c r="L703" s="5">
        <v>23452.02</v>
      </c>
    </row>
    <row r="704" spans="10:12" x14ac:dyDescent="0.3">
      <c r="J704">
        <v>1634.3644106787199</v>
      </c>
      <c r="K704">
        <v>6000</v>
      </c>
      <c r="L704" s="5">
        <v>19475.22</v>
      </c>
    </row>
    <row r="705" spans="10:12" x14ac:dyDescent="0.3">
      <c r="J705">
        <v>1910.1252600911332</v>
      </c>
      <c r="K705">
        <v>8000</v>
      </c>
      <c r="L705" s="5">
        <v>20430.38</v>
      </c>
    </row>
    <row r="706" spans="10:12" x14ac:dyDescent="0.3">
      <c r="J706">
        <v>1629.2478389370299</v>
      </c>
      <c r="K706">
        <v>2250</v>
      </c>
      <c r="L706" s="5">
        <v>13364.01</v>
      </c>
    </row>
    <row r="707" spans="10:12" x14ac:dyDescent="0.3">
      <c r="J707">
        <v>1755.3014442461367</v>
      </c>
      <c r="K707">
        <v>5000</v>
      </c>
      <c r="L707" s="5">
        <v>19628.48</v>
      </c>
    </row>
    <row r="708" spans="10:12" x14ac:dyDescent="0.3">
      <c r="J708">
        <v>1895.0666810588291</v>
      </c>
      <c r="K708">
        <v>4250</v>
      </c>
      <c r="L708" s="5">
        <v>22270.62</v>
      </c>
    </row>
    <row r="709" spans="10:12" x14ac:dyDescent="0.3">
      <c r="J709">
        <v>1786.9787702818708</v>
      </c>
      <c r="K709">
        <v>4750</v>
      </c>
      <c r="L709" s="5">
        <v>20302.53</v>
      </c>
    </row>
    <row r="710" spans="10:12" x14ac:dyDescent="0.3">
      <c r="J710">
        <v>1680.6374713258133</v>
      </c>
      <c r="K710">
        <v>7000</v>
      </c>
      <c r="L710" s="5">
        <v>18067.52</v>
      </c>
    </row>
    <row r="711" spans="10:12" x14ac:dyDescent="0.3">
      <c r="J711">
        <v>961.0659314805207</v>
      </c>
      <c r="K711">
        <v>5250</v>
      </c>
      <c r="L711" s="5">
        <v>3288.58</v>
      </c>
    </row>
    <row r="712" spans="10:12" x14ac:dyDescent="0.3">
      <c r="J712">
        <v>1658.8953619292558</v>
      </c>
      <c r="K712">
        <v>5000</v>
      </c>
      <c r="L712" s="5">
        <v>18292.29</v>
      </c>
    </row>
    <row r="713" spans="10:12" x14ac:dyDescent="0.3">
      <c r="J713">
        <v>1759.7815772124777</v>
      </c>
      <c r="K713">
        <v>4000</v>
      </c>
      <c r="L713" s="5">
        <v>20630.57</v>
      </c>
    </row>
    <row r="714" spans="10:12" x14ac:dyDescent="0.3">
      <c r="J714">
        <v>2100.7708370165392</v>
      </c>
      <c r="K714">
        <v>6250</v>
      </c>
      <c r="L714" s="5">
        <v>27491.68</v>
      </c>
    </row>
    <row r="715" spans="10:12" x14ac:dyDescent="0.3">
      <c r="J715">
        <v>1715.7001170757244</v>
      </c>
      <c r="K715">
        <v>7250</v>
      </c>
      <c r="L715" s="5">
        <v>18199.11</v>
      </c>
    </row>
    <row r="716" spans="10:12" x14ac:dyDescent="0.3">
      <c r="J716">
        <v>1467.5824053565484</v>
      </c>
      <c r="K716">
        <v>1500</v>
      </c>
      <c r="L716" s="5">
        <v>739.38</v>
      </c>
    </row>
    <row r="717" spans="10:12" x14ac:dyDescent="0.3">
      <c r="J717">
        <v>1713.9327036599725</v>
      </c>
      <c r="K717">
        <v>1750</v>
      </c>
      <c r="L717" s="5">
        <v>825.06</v>
      </c>
    </row>
    <row r="718" spans="10:12" x14ac:dyDescent="0.3">
      <c r="J718">
        <v>2180.4717253908821</v>
      </c>
      <c r="K718">
        <v>9500</v>
      </c>
      <c r="L718" s="5">
        <v>22454.11</v>
      </c>
    </row>
    <row r="719" spans="10:12" x14ac:dyDescent="0.3">
      <c r="J719">
        <v>1268.7496473775391</v>
      </c>
      <c r="K719">
        <v>9000</v>
      </c>
      <c r="L719" s="5">
        <v>-174.39</v>
      </c>
    </row>
    <row r="720" spans="10:12" x14ac:dyDescent="0.3">
      <c r="J720">
        <v>2245.660626707871</v>
      </c>
      <c r="K720">
        <v>4500</v>
      </c>
      <c r="L720" s="5">
        <v>25988.13</v>
      </c>
    </row>
    <row r="721" spans="10:12" x14ac:dyDescent="0.3">
      <c r="J721">
        <v>2099.930170198681</v>
      </c>
      <c r="K721">
        <v>3000</v>
      </c>
      <c r="L721" s="5">
        <v>18233.650000000001</v>
      </c>
    </row>
    <row r="722" spans="10:12" x14ac:dyDescent="0.3">
      <c r="J722">
        <v>1834.50920370833</v>
      </c>
      <c r="K722">
        <v>4250</v>
      </c>
      <c r="L722" s="5">
        <v>21431.3</v>
      </c>
    </row>
    <row r="723" spans="10:12" x14ac:dyDescent="0.3">
      <c r="J723">
        <v>2441.3914362876012</v>
      </c>
      <c r="K723">
        <v>4250</v>
      </c>
      <c r="L723" s="5">
        <v>26159.61</v>
      </c>
    </row>
    <row r="724" spans="10:12" x14ac:dyDescent="0.3">
      <c r="J724">
        <v>2107.7683965708898</v>
      </c>
      <c r="K724">
        <v>6000</v>
      </c>
      <c r="L724" s="5">
        <v>27653.67</v>
      </c>
    </row>
    <row r="725" spans="10:12" x14ac:dyDescent="0.3">
      <c r="J725">
        <v>1757.4541093925777</v>
      </c>
      <c r="K725">
        <v>1500</v>
      </c>
      <c r="L725" s="5">
        <v>-1685.09</v>
      </c>
    </row>
    <row r="726" spans="10:12" x14ac:dyDescent="0.3">
      <c r="J726">
        <v>1714.9042046649693</v>
      </c>
      <c r="K726">
        <v>5500</v>
      </c>
      <c r="L726" s="5">
        <v>18572.73</v>
      </c>
    </row>
    <row r="727" spans="10:12" x14ac:dyDescent="0.3">
      <c r="J727">
        <v>2231.9903125993019</v>
      </c>
      <c r="K727">
        <v>3500</v>
      </c>
      <c r="L727" s="5">
        <v>22659.23</v>
      </c>
    </row>
    <row r="728" spans="10:12" x14ac:dyDescent="0.3">
      <c r="J728">
        <v>2027.2529133283931</v>
      </c>
      <c r="K728">
        <v>9000</v>
      </c>
      <c r="L728" s="5">
        <v>20480.87</v>
      </c>
    </row>
    <row r="729" spans="10:12" x14ac:dyDescent="0.3">
      <c r="J729">
        <v>2010.5893506775026</v>
      </c>
      <c r="K729">
        <v>5250</v>
      </c>
      <c r="L729" s="5">
        <v>22931.77</v>
      </c>
    </row>
    <row r="730" spans="10:12" x14ac:dyDescent="0.3">
      <c r="J730">
        <v>1776.0281815347901</v>
      </c>
      <c r="K730">
        <v>7250</v>
      </c>
      <c r="L730" s="5">
        <v>19440.66</v>
      </c>
    </row>
    <row r="731" spans="10:12" x14ac:dyDescent="0.3">
      <c r="J731">
        <v>1441.7666075631228</v>
      </c>
      <c r="K731">
        <v>7250</v>
      </c>
      <c r="L731" s="5">
        <v>12561.56</v>
      </c>
    </row>
    <row r="732" spans="10:12" x14ac:dyDescent="0.3">
      <c r="J732">
        <v>1444.2599119710185</v>
      </c>
      <c r="K732">
        <v>3250</v>
      </c>
      <c r="L732" s="5">
        <v>14654.94</v>
      </c>
    </row>
    <row r="733" spans="10:12" x14ac:dyDescent="0.3">
      <c r="J733">
        <v>2401.8495526704173</v>
      </c>
      <c r="K733">
        <v>3000</v>
      </c>
      <c r="L733" s="5">
        <v>12902.38</v>
      </c>
    </row>
    <row r="734" spans="10:12" x14ac:dyDescent="0.3">
      <c r="J734">
        <v>1140.4707464313217</v>
      </c>
      <c r="K734">
        <v>9750</v>
      </c>
      <c r="L734" s="5">
        <v>-7560.17</v>
      </c>
    </row>
    <row r="735" spans="10:12" x14ac:dyDescent="0.3">
      <c r="J735">
        <v>966.33311686619538</v>
      </c>
      <c r="K735">
        <v>8500</v>
      </c>
      <c r="L735" s="5">
        <v>-7470.51</v>
      </c>
    </row>
    <row r="736" spans="10:12" x14ac:dyDescent="0.3">
      <c r="J736">
        <v>1183.4955762646919</v>
      </c>
      <c r="K736">
        <v>6250</v>
      </c>
      <c r="L736" s="5">
        <v>9405.11</v>
      </c>
    </row>
    <row r="737" spans="10:12" x14ac:dyDescent="0.3">
      <c r="J737">
        <v>1096.177026920599</v>
      </c>
      <c r="K737">
        <v>10000</v>
      </c>
      <c r="L737" s="5">
        <v>-10070.42</v>
      </c>
    </row>
    <row r="738" spans="10:12" x14ac:dyDescent="0.3">
      <c r="J738">
        <v>1939.3335199545825</v>
      </c>
      <c r="K738">
        <v>8250</v>
      </c>
      <c r="L738" s="5">
        <v>20441.48</v>
      </c>
    </row>
    <row r="739" spans="10:12" x14ac:dyDescent="0.3">
      <c r="J739">
        <v>1549.6988702441008</v>
      </c>
      <c r="K739">
        <v>6250</v>
      </c>
      <c r="L739" s="5">
        <v>17142.8</v>
      </c>
    </row>
    <row r="740" spans="10:12" x14ac:dyDescent="0.3">
      <c r="J740">
        <v>2161.5346857795489</v>
      </c>
      <c r="K740">
        <v>4250</v>
      </c>
      <c r="L740" s="5">
        <v>24749.13</v>
      </c>
    </row>
    <row r="741" spans="10:12" x14ac:dyDescent="0.3">
      <c r="J741">
        <v>1446.082561848873</v>
      </c>
      <c r="K741">
        <v>4250</v>
      </c>
      <c r="L741" s="5">
        <v>16047.7</v>
      </c>
    </row>
    <row r="742" spans="10:12" x14ac:dyDescent="0.3">
      <c r="J742">
        <v>1299.8558071704915</v>
      </c>
      <c r="K742">
        <v>6250</v>
      </c>
      <c r="L742" s="5">
        <v>12001.03</v>
      </c>
    </row>
    <row r="743" spans="10:12" x14ac:dyDescent="0.3">
      <c r="J743">
        <v>1712.5046780186635</v>
      </c>
      <c r="K743">
        <v>7000</v>
      </c>
      <c r="L743" s="5">
        <v>18723.349999999999</v>
      </c>
    </row>
    <row r="744" spans="10:12" x14ac:dyDescent="0.3">
      <c r="J744">
        <v>1852.4546268441352</v>
      </c>
      <c r="K744">
        <v>4750</v>
      </c>
      <c r="L744" s="5">
        <v>21210.02</v>
      </c>
    </row>
    <row r="745" spans="10:12" x14ac:dyDescent="0.3">
      <c r="J745">
        <v>1711.4048844949489</v>
      </c>
      <c r="K745">
        <v>3750</v>
      </c>
      <c r="L745" s="5">
        <v>20195.07</v>
      </c>
    </row>
    <row r="746" spans="10:12" x14ac:dyDescent="0.3">
      <c r="J746">
        <v>1854.0160653880228</v>
      </c>
      <c r="K746">
        <v>6000</v>
      </c>
      <c r="L746" s="5">
        <v>23995.65</v>
      </c>
    </row>
    <row r="747" spans="10:12" x14ac:dyDescent="0.3">
      <c r="J747">
        <v>1960.494102053369</v>
      </c>
      <c r="K747">
        <v>6750</v>
      </c>
      <c r="L747" s="5">
        <v>24416.97</v>
      </c>
    </row>
    <row r="748" spans="10:12" x14ac:dyDescent="0.3">
      <c r="J748">
        <v>1784.3413952171165</v>
      </c>
      <c r="K748">
        <v>1500</v>
      </c>
      <c r="L748" s="5">
        <v>-1865.77</v>
      </c>
    </row>
    <row r="749" spans="10:12" x14ac:dyDescent="0.3">
      <c r="J749">
        <v>1523.5875384819401</v>
      </c>
      <c r="K749">
        <v>6250</v>
      </c>
      <c r="L749" s="5">
        <v>16605.43</v>
      </c>
    </row>
    <row r="750" spans="10:12" x14ac:dyDescent="0.3">
      <c r="J750">
        <v>1856.3461091871011</v>
      </c>
      <c r="K750">
        <v>7250</v>
      </c>
      <c r="L750" s="5">
        <v>21093.599999999999</v>
      </c>
    </row>
    <row r="751" spans="10:12" x14ac:dyDescent="0.3">
      <c r="J751">
        <v>2404.8889459958627</v>
      </c>
      <c r="K751">
        <v>1500</v>
      </c>
      <c r="L751" s="5">
        <v>-6035.85</v>
      </c>
    </row>
    <row r="752" spans="10:12" x14ac:dyDescent="0.3">
      <c r="J752">
        <v>1528.3023406056732</v>
      </c>
      <c r="K752">
        <v>5000</v>
      </c>
      <c r="L752" s="5">
        <v>16252.46</v>
      </c>
    </row>
    <row r="753" spans="10:12" x14ac:dyDescent="0.3">
      <c r="J753">
        <v>2087.9729978737159</v>
      </c>
      <c r="K753">
        <v>5000</v>
      </c>
      <c r="L753" s="5">
        <v>24239.31</v>
      </c>
    </row>
    <row r="754" spans="10:12" x14ac:dyDescent="0.3">
      <c r="J754">
        <v>2293.9134099122753</v>
      </c>
      <c r="K754">
        <v>4750</v>
      </c>
      <c r="L754" s="5">
        <v>27046.32</v>
      </c>
    </row>
    <row r="755" spans="10:12" x14ac:dyDescent="0.3">
      <c r="J755">
        <v>1671.6539473828179</v>
      </c>
      <c r="K755">
        <v>5250</v>
      </c>
      <c r="L755" s="5">
        <v>18234.12</v>
      </c>
    </row>
    <row r="756" spans="10:12" x14ac:dyDescent="0.3">
      <c r="J756">
        <v>1256.8189383459026</v>
      </c>
      <c r="K756">
        <v>5250</v>
      </c>
      <c r="L756" s="5">
        <v>9905.33</v>
      </c>
    </row>
    <row r="757" spans="10:12" x14ac:dyDescent="0.3">
      <c r="J757">
        <v>2787.952399256113</v>
      </c>
      <c r="K757">
        <v>4750</v>
      </c>
      <c r="L757" s="5">
        <v>29536.28</v>
      </c>
    </row>
    <row r="758" spans="10:12" x14ac:dyDescent="0.3">
      <c r="J758">
        <v>2087.4259791943605</v>
      </c>
      <c r="K758">
        <v>6000</v>
      </c>
      <c r="L758" s="5">
        <v>27371.72</v>
      </c>
    </row>
    <row r="759" spans="10:12" x14ac:dyDescent="0.3">
      <c r="J759">
        <v>1650.690335224059</v>
      </c>
      <c r="K759">
        <v>4500</v>
      </c>
      <c r="L759" s="5">
        <v>18648.57</v>
      </c>
    </row>
    <row r="760" spans="10:12" x14ac:dyDescent="0.3">
      <c r="J760">
        <v>1515.6358316380993</v>
      </c>
      <c r="K760">
        <v>10000</v>
      </c>
      <c r="L760" s="5">
        <v>3142.53</v>
      </c>
    </row>
    <row r="761" spans="10:12" x14ac:dyDescent="0.3">
      <c r="J761">
        <v>1200.9968964596364</v>
      </c>
      <c r="K761">
        <v>5750</v>
      </c>
      <c r="L761" s="5">
        <v>7236.52</v>
      </c>
    </row>
    <row r="762" spans="10:12" x14ac:dyDescent="0.3">
      <c r="J762">
        <v>2138.5436463218466</v>
      </c>
      <c r="K762">
        <v>7250</v>
      </c>
      <c r="L762" s="5">
        <v>26901.23</v>
      </c>
    </row>
    <row r="763" spans="10:12" x14ac:dyDescent="0.3">
      <c r="J763">
        <v>2501.6341242413891</v>
      </c>
      <c r="K763">
        <v>1500</v>
      </c>
      <c r="L763" s="5">
        <v>-6685.98</v>
      </c>
    </row>
    <row r="764" spans="10:12" x14ac:dyDescent="0.3">
      <c r="J764">
        <v>1412.2523821425493</v>
      </c>
      <c r="K764">
        <v>1250</v>
      </c>
      <c r="L764" s="5">
        <v>-1990.34</v>
      </c>
    </row>
    <row r="765" spans="10:12" x14ac:dyDescent="0.3">
      <c r="J765">
        <v>2125.8644358058068</v>
      </c>
      <c r="K765">
        <v>6500</v>
      </c>
      <c r="L765" s="5">
        <v>27774.48</v>
      </c>
    </row>
    <row r="766" spans="10:12" x14ac:dyDescent="0.3">
      <c r="J766">
        <v>2125.7241972573443</v>
      </c>
      <c r="K766">
        <v>6250</v>
      </c>
      <c r="L766" s="5">
        <v>27837.54</v>
      </c>
    </row>
    <row r="767" spans="10:12" x14ac:dyDescent="0.3">
      <c r="J767">
        <v>2812.0822257131776</v>
      </c>
      <c r="K767">
        <v>5000</v>
      </c>
      <c r="L767" s="5">
        <v>30472.89</v>
      </c>
    </row>
    <row r="768" spans="10:12" x14ac:dyDescent="0.3">
      <c r="J768">
        <v>1580.7226861498768</v>
      </c>
      <c r="K768">
        <v>1500</v>
      </c>
      <c r="L768" s="5">
        <v>-497.46</v>
      </c>
    </row>
    <row r="769" spans="10:12" x14ac:dyDescent="0.3">
      <c r="J769">
        <v>2017.594634837872</v>
      </c>
      <c r="K769">
        <v>9500</v>
      </c>
      <c r="L769" s="5">
        <v>19102.099999999999</v>
      </c>
    </row>
    <row r="770" spans="10:12" x14ac:dyDescent="0.3">
      <c r="J770">
        <v>2526.3926621633691</v>
      </c>
      <c r="K770">
        <v>7000</v>
      </c>
      <c r="L770" s="5">
        <v>33195.800000000003</v>
      </c>
    </row>
    <row r="771" spans="10:12" x14ac:dyDescent="0.3">
      <c r="J771">
        <v>1642.735132385498</v>
      </c>
      <c r="K771">
        <v>8750</v>
      </c>
      <c r="L771" s="5">
        <v>12721.16</v>
      </c>
    </row>
    <row r="772" spans="10:12" x14ac:dyDescent="0.3">
      <c r="J772">
        <v>1448.1125992507045</v>
      </c>
      <c r="K772">
        <v>6250</v>
      </c>
      <c r="L772" s="5">
        <v>15052.16</v>
      </c>
    </row>
    <row r="773" spans="10:12" x14ac:dyDescent="0.3">
      <c r="J773">
        <v>2036.895937888241</v>
      </c>
      <c r="K773">
        <v>9250</v>
      </c>
      <c r="L773" s="5">
        <v>20089.32</v>
      </c>
    </row>
    <row r="774" spans="10:12" x14ac:dyDescent="0.3">
      <c r="J774">
        <v>2575.7973313994389</v>
      </c>
      <c r="K774">
        <v>5000</v>
      </c>
      <c r="L774" s="5">
        <v>29282.02</v>
      </c>
    </row>
    <row r="775" spans="10:12" x14ac:dyDescent="0.3">
      <c r="J775">
        <v>1839.8409865525798</v>
      </c>
      <c r="K775">
        <v>10000</v>
      </c>
      <c r="L775" s="5">
        <v>13354.99</v>
      </c>
    </row>
    <row r="776" spans="10:12" x14ac:dyDescent="0.3">
      <c r="J776">
        <v>1649.8926076713799</v>
      </c>
      <c r="K776">
        <v>3000</v>
      </c>
      <c r="L776" s="5">
        <v>15965.46</v>
      </c>
    </row>
    <row r="777" spans="10:12" x14ac:dyDescent="0.3">
      <c r="J777">
        <v>2193.7779107082551</v>
      </c>
      <c r="K777">
        <v>7000</v>
      </c>
      <c r="L777" s="5">
        <v>28585.759999999998</v>
      </c>
    </row>
    <row r="778" spans="10:12" x14ac:dyDescent="0.3">
      <c r="J778">
        <v>1596.654717943075</v>
      </c>
      <c r="K778">
        <v>7250</v>
      </c>
      <c r="L778" s="5">
        <v>15749.15</v>
      </c>
    </row>
    <row r="779" spans="10:12" x14ac:dyDescent="0.3">
      <c r="J779">
        <v>1811.9349146900149</v>
      </c>
      <c r="K779">
        <v>6750</v>
      </c>
      <c r="L779" s="5">
        <v>21359.62</v>
      </c>
    </row>
    <row r="780" spans="10:12" x14ac:dyDescent="0.3">
      <c r="J780">
        <v>2029.147748338502</v>
      </c>
      <c r="K780">
        <v>9250</v>
      </c>
      <c r="L780" s="5">
        <v>19929.86</v>
      </c>
    </row>
    <row r="781" spans="10:12" x14ac:dyDescent="0.3">
      <c r="J781">
        <v>1716.1363807040143</v>
      </c>
      <c r="K781">
        <v>10000</v>
      </c>
      <c r="L781" s="5">
        <v>9458.2999999999993</v>
      </c>
    </row>
    <row r="782" spans="10:12" x14ac:dyDescent="0.3">
      <c r="J782">
        <v>1519.5391565974792</v>
      </c>
      <c r="K782">
        <v>6250</v>
      </c>
      <c r="L782" s="5">
        <v>16522.12</v>
      </c>
    </row>
    <row r="783" spans="10:12" x14ac:dyDescent="0.3">
      <c r="J783">
        <v>1523.2786530294961</v>
      </c>
      <c r="K783">
        <v>3250</v>
      </c>
      <c r="L783" s="5">
        <v>15750.14</v>
      </c>
    </row>
    <row r="784" spans="10:12" x14ac:dyDescent="0.3">
      <c r="J784">
        <v>1675.5829326059488</v>
      </c>
      <c r="K784">
        <v>5250</v>
      </c>
      <c r="L784" s="5">
        <v>18288.580000000002</v>
      </c>
    </row>
    <row r="785" spans="10:12" x14ac:dyDescent="0.3">
      <c r="J785">
        <v>2043.7171094188934</v>
      </c>
      <c r="K785">
        <v>3250</v>
      </c>
      <c r="L785" s="5">
        <v>18587.830000000002</v>
      </c>
    </row>
    <row r="786" spans="10:12" x14ac:dyDescent="0.3">
      <c r="J786">
        <v>2040.3347496405554</v>
      </c>
      <c r="K786">
        <v>7000</v>
      </c>
      <c r="L786" s="5">
        <v>25470.09</v>
      </c>
    </row>
    <row r="787" spans="10:12" x14ac:dyDescent="0.3">
      <c r="J787">
        <v>1878.3123003849971</v>
      </c>
      <c r="K787">
        <v>6500</v>
      </c>
      <c r="L787" s="5">
        <v>23315.67</v>
      </c>
    </row>
    <row r="788" spans="10:12" x14ac:dyDescent="0.3">
      <c r="J788">
        <v>1760.2725698019158</v>
      </c>
      <c r="K788">
        <v>2750</v>
      </c>
      <c r="L788" s="5">
        <v>15884.27</v>
      </c>
    </row>
    <row r="789" spans="10:12" x14ac:dyDescent="0.3">
      <c r="J789">
        <v>2117.6373442757758</v>
      </c>
      <c r="K789">
        <v>1750</v>
      </c>
      <c r="L789" s="5">
        <v>-2418.02</v>
      </c>
    </row>
    <row r="790" spans="10:12" x14ac:dyDescent="0.3">
      <c r="J790">
        <v>1367.856011654914</v>
      </c>
      <c r="K790">
        <v>9500</v>
      </c>
      <c r="L790" s="5">
        <v>717.46</v>
      </c>
    </row>
    <row r="791" spans="10:12" x14ac:dyDescent="0.3">
      <c r="J791">
        <v>2381.2319582420669</v>
      </c>
      <c r="K791">
        <v>5500</v>
      </c>
      <c r="L791" s="5">
        <v>27833.87</v>
      </c>
    </row>
    <row r="792" spans="10:12" x14ac:dyDescent="0.3">
      <c r="J792">
        <v>1772.1744361602659</v>
      </c>
      <c r="K792">
        <v>6500</v>
      </c>
      <c r="L792" s="5">
        <v>21131.35</v>
      </c>
    </row>
    <row r="793" spans="10:12" x14ac:dyDescent="0.3">
      <c r="J793">
        <v>1774.0508150217861</v>
      </c>
      <c r="K793">
        <v>5250</v>
      </c>
      <c r="L793" s="5">
        <v>19653.34</v>
      </c>
    </row>
    <row r="794" spans="10:12" x14ac:dyDescent="0.3">
      <c r="J794">
        <v>1944.0222850766859</v>
      </c>
      <c r="K794">
        <v>3500</v>
      </c>
      <c r="L794" s="5">
        <v>21207.87</v>
      </c>
    </row>
    <row r="795" spans="10:12" x14ac:dyDescent="0.3">
      <c r="J795">
        <v>1350.1142837095235</v>
      </c>
      <c r="K795">
        <v>8500</v>
      </c>
      <c r="L795" s="5">
        <v>4618.6000000000004</v>
      </c>
    </row>
    <row r="796" spans="10:12" x14ac:dyDescent="0.3">
      <c r="J796">
        <v>1477.0353723817079</v>
      </c>
      <c r="K796">
        <v>1250</v>
      </c>
      <c r="L796" s="5">
        <v>-2425.6799999999998</v>
      </c>
    </row>
    <row r="797" spans="10:12" x14ac:dyDescent="0.3">
      <c r="J797">
        <v>2027.3480711627492</v>
      </c>
      <c r="K797">
        <v>10000</v>
      </c>
      <c r="L797" s="5">
        <v>18122.82</v>
      </c>
    </row>
    <row r="798" spans="10:12" x14ac:dyDescent="0.3">
      <c r="J798">
        <v>1654.0011842144502</v>
      </c>
      <c r="K798">
        <v>4500</v>
      </c>
      <c r="L798" s="5">
        <v>18694.46</v>
      </c>
    </row>
    <row r="799" spans="10:12" x14ac:dyDescent="0.3">
      <c r="J799">
        <v>1620.2592313114271</v>
      </c>
      <c r="K799">
        <v>1500</v>
      </c>
      <c r="L799" s="5">
        <v>-763.14</v>
      </c>
    </row>
    <row r="800" spans="10:12" x14ac:dyDescent="0.3">
      <c r="J800">
        <v>1924.5950698281281</v>
      </c>
      <c r="K800">
        <v>4500</v>
      </c>
      <c r="L800" s="5">
        <v>22444.89</v>
      </c>
    </row>
    <row r="801" spans="10:12" x14ac:dyDescent="0.3">
      <c r="J801">
        <v>2046.6186230994631</v>
      </c>
      <c r="K801">
        <v>5250</v>
      </c>
      <c r="L801" s="5">
        <v>23431.13</v>
      </c>
    </row>
    <row r="802" spans="10:12" x14ac:dyDescent="0.3">
      <c r="J802">
        <v>1870.8300120227589</v>
      </c>
      <c r="K802">
        <v>3000</v>
      </c>
      <c r="L802" s="5">
        <v>17078.98</v>
      </c>
    </row>
    <row r="803" spans="10:12" x14ac:dyDescent="0.3">
      <c r="J803">
        <v>1890.6988143509213</v>
      </c>
      <c r="K803">
        <v>4500</v>
      </c>
      <c r="L803" s="5">
        <v>21975.09</v>
      </c>
    </row>
    <row r="804" spans="10:12" x14ac:dyDescent="0.3">
      <c r="J804">
        <v>1740.3509799786334</v>
      </c>
      <c r="K804">
        <v>4250</v>
      </c>
      <c r="L804" s="5">
        <v>20126.259999999998</v>
      </c>
    </row>
    <row r="805" spans="10:12" x14ac:dyDescent="0.3">
      <c r="J805">
        <v>1413.5490917386032</v>
      </c>
      <c r="K805">
        <v>7000</v>
      </c>
      <c r="L805" s="5">
        <v>12570.84</v>
      </c>
    </row>
    <row r="806" spans="10:12" x14ac:dyDescent="0.3">
      <c r="J806">
        <v>1765.9758568225884</v>
      </c>
      <c r="K806">
        <v>2000</v>
      </c>
      <c r="L806" s="5">
        <v>5072.8</v>
      </c>
    </row>
    <row r="807" spans="10:12" x14ac:dyDescent="0.3">
      <c r="J807">
        <v>1885.2744127555243</v>
      </c>
      <c r="K807">
        <v>1500</v>
      </c>
      <c r="L807" s="5">
        <v>-2544.04</v>
      </c>
    </row>
    <row r="808" spans="10:12" x14ac:dyDescent="0.3">
      <c r="J808">
        <v>1896.5339182218909</v>
      </c>
      <c r="K808">
        <v>3500</v>
      </c>
      <c r="L808" s="5">
        <v>20968.53</v>
      </c>
    </row>
    <row r="809" spans="10:12" x14ac:dyDescent="0.3">
      <c r="J809">
        <v>2146.7708528542157</v>
      </c>
      <c r="K809">
        <v>9000</v>
      </c>
      <c r="L809" s="5">
        <v>22940.54</v>
      </c>
    </row>
    <row r="810" spans="10:12" x14ac:dyDescent="0.3">
      <c r="J810">
        <v>1589.4869562366682</v>
      </c>
      <c r="K810">
        <v>5250</v>
      </c>
      <c r="L810" s="5">
        <v>16751.64</v>
      </c>
    </row>
    <row r="811" spans="10:12" x14ac:dyDescent="0.3">
      <c r="J811">
        <v>1565.9318642771648</v>
      </c>
      <c r="K811">
        <v>8750</v>
      </c>
      <c r="L811" s="5">
        <v>10301.85</v>
      </c>
    </row>
    <row r="812" spans="10:12" x14ac:dyDescent="0.3">
      <c r="J812">
        <v>2147.8035056840031</v>
      </c>
      <c r="K812">
        <v>6000</v>
      </c>
      <c r="L812" s="5">
        <v>28208.560000000001</v>
      </c>
    </row>
    <row r="813" spans="10:12" x14ac:dyDescent="0.3">
      <c r="J813">
        <v>2425.8239618236412</v>
      </c>
      <c r="K813">
        <v>4750</v>
      </c>
      <c r="L813" s="5">
        <v>27711.15</v>
      </c>
    </row>
    <row r="814" spans="10:12" x14ac:dyDescent="0.3">
      <c r="J814">
        <v>1969.4056516538744</v>
      </c>
      <c r="K814">
        <v>9500</v>
      </c>
      <c r="L814" s="5">
        <v>18110.37</v>
      </c>
    </row>
    <row r="815" spans="10:12" x14ac:dyDescent="0.3">
      <c r="J815">
        <v>1958.5669106089363</v>
      </c>
      <c r="K815">
        <v>6000</v>
      </c>
      <c r="L815" s="5">
        <v>25585.74</v>
      </c>
    </row>
    <row r="816" spans="10:12" x14ac:dyDescent="0.3">
      <c r="J816">
        <v>1693.6635634349791</v>
      </c>
      <c r="K816">
        <v>9000</v>
      </c>
      <c r="L816" s="5">
        <v>13210.4</v>
      </c>
    </row>
    <row r="817" spans="10:12" x14ac:dyDescent="0.3">
      <c r="J817">
        <v>748.24258586331575</v>
      </c>
      <c r="K817">
        <v>8250</v>
      </c>
      <c r="L817" s="5">
        <v>-13225.36</v>
      </c>
    </row>
    <row r="818" spans="10:12" x14ac:dyDescent="0.3">
      <c r="J818">
        <v>1518.1477016674905</v>
      </c>
      <c r="K818">
        <v>2500</v>
      </c>
      <c r="L818" s="5">
        <v>14026.46</v>
      </c>
    </row>
    <row r="819" spans="10:12" x14ac:dyDescent="0.3">
      <c r="J819">
        <v>2359.4651747694252</v>
      </c>
      <c r="K819">
        <v>6750</v>
      </c>
      <c r="L819" s="5">
        <v>30947.19</v>
      </c>
    </row>
    <row r="820" spans="10:12" x14ac:dyDescent="0.3">
      <c r="J820">
        <v>2458.2069677371592</v>
      </c>
      <c r="K820">
        <v>9500</v>
      </c>
      <c r="L820" s="5">
        <v>28169.9</v>
      </c>
    </row>
    <row r="821" spans="10:12" x14ac:dyDescent="0.3">
      <c r="J821">
        <v>1347.3735132644933</v>
      </c>
      <c r="K821">
        <v>9500</v>
      </c>
      <c r="L821" s="5">
        <v>72.27</v>
      </c>
    </row>
    <row r="822" spans="10:12" x14ac:dyDescent="0.3">
      <c r="J822">
        <v>2129.7537262311416</v>
      </c>
      <c r="K822">
        <v>5000</v>
      </c>
      <c r="L822" s="5">
        <v>24818.39</v>
      </c>
    </row>
    <row r="823" spans="10:12" x14ac:dyDescent="0.3">
      <c r="J823">
        <v>1687.2639590742606</v>
      </c>
      <c r="K823">
        <v>5250</v>
      </c>
      <c r="L823" s="5">
        <v>18450.48</v>
      </c>
    </row>
    <row r="824" spans="10:12" x14ac:dyDescent="0.3">
      <c r="J824">
        <v>1960.2620645946208</v>
      </c>
      <c r="K824">
        <v>5500</v>
      </c>
      <c r="L824" s="5">
        <v>21999.23</v>
      </c>
    </row>
    <row r="825" spans="10:12" x14ac:dyDescent="0.3">
      <c r="J825">
        <v>1940.0332103762307</v>
      </c>
      <c r="K825">
        <v>9500</v>
      </c>
      <c r="L825" s="5">
        <v>17505.88</v>
      </c>
    </row>
    <row r="826" spans="10:12" x14ac:dyDescent="0.3">
      <c r="J826">
        <v>1156.6972947338563</v>
      </c>
      <c r="K826">
        <v>5000</v>
      </c>
      <c r="L826" s="5">
        <v>8604.83</v>
      </c>
    </row>
    <row r="827" spans="10:12" x14ac:dyDescent="0.3">
      <c r="J827">
        <v>2008.9211009977375</v>
      </c>
      <c r="K827">
        <v>9000</v>
      </c>
      <c r="L827" s="5">
        <v>20103.599999999999</v>
      </c>
    </row>
    <row r="828" spans="10:12" x14ac:dyDescent="0.3">
      <c r="J828">
        <v>1378.3301205528442</v>
      </c>
      <c r="K828">
        <v>7250</v>
      </c>
      <c r="L828" s="5">
        <v>11082.4</v>
      </c>
    </row>
    <row r="829" spans="10:12" x14ac:dyDescent="0.3">
      <c r="J829">
        <v>1482.5147772959751</v>
      </c>
      <c r="K829">
        <v>1250</v>
      </c>
      <c r="L829" s="5">
        <v>-2462.5</v>
      </c>
    </row>
    <row r="830" spans="10:12" x14ac:dyDescent="0.3">
      <c r="J830">
        <v>1468.6255353619108</v>
      </c>
      <c r="K830">
        <v>4000</v>
      </c>
      <c r="L830" s="5">
        <v>16595.150000000001</v>
      </c>
    </row>
    <row r="831" spans="10:12" x14ac:dyDescent="0.3">
      <c r="J831">
        <v>1861.22509033141</v>
      </c>
      <c r="K831">
        <v>6000</v>
      </c>
      <c r="L831" s="5">
        <v>24144.01</v>
      </c>
    </row>
    <row r="832" spans="10:12" x14ac:dyDescent="0.3">
      <c r="J832">
        <v>2233.4108074232681</v>
      </c>
      <c r="K832">
        <v>6500</v>
      </c>
      <c r="L832" s="5">
        <v>29265.07</v>
      </c>
    </row>
    <row r="833" spans="10:12" x14ac:dyDescent="0.3">
      <c r="J833">
        <v>1612.5056498755916</v>
      </c>
      <c r="K833">
        <v>4500</v>
      </c>
      <c r="L833" s="5">
        <v>18119.330000000002</v>
      </c>
    </row>
    <row r="834" spans="10:12" x14ac:dyDescent="0.3">
      <c r="J834">
        <v>1815.2814542780186</v>
      </c>
      <c r="K834">
        <v>6750</v>
      </c>
      <c r="L834" s="5">
        <v>21428.49</v>
      </c>
    </row>
    <row r="835" spans="10:12" x14ac:dyDescent="0.3">
      <c r="J835">
        <v>2435.2808930646024</v>
      </c>
      <c r="K835">
        <v>7500</v>
      </c>
      <c r="L835" s="5">
        <v>31802.99</v>
      </c>
    </row>
    <row r="836" spans="10:12" x14ac:dyDescent="0.3">
      <c r="J836">
        <v>1374.8574328204973</v>
      </c>
      <c r="K836">
        <v>9250</v>
      </c>
      <c r="L836" s="5">
        <v>2053.0100000000002</v>
      </c>
    </row>
    <row r="837" spans="10:12" x14ac:dyDescent="0.3">
      <c r="J837">
        <v>2079.5956526704667</v>
      </c>
      <c r="K837">
        <v>9500</v>
      </c>
      <c r="L837" s="5">
        <v>20378.080000000002</v>
      </c>
    </row>
    <row r="838" spans="10:12" x14ac:dyDescent="0.3">
      <c r="J838">
        <v>1512.3474549813013</v>
      </c>
      <c r="K838">
        <v>5000</v>
      </c>
      <c r="L838" s="5">
        <v>15924.11</v>
      </c>
    </row>
    <row r="839" spans="10:12" x14ac:dyDescent="0.3">
      <c r="J839">
        <v>2201.4590711884302</v>
      </c>
      <c r="K839">
        <v>8750</v>
      </c>
      <c r="L839" s="5">
        <v>24656.03</v>
      </c>
    </row>
    <row r="840" spans="10:12" x14ac:dyDescent="0.3">
      <c r="J840">
        <v>1929.4277595729586</v>
      </c>
      <c r="K840">
        <v>1750</v>
      </c>
      <c r="L840" s="5">
        <v>-1153.25</v>
      </c>
    </row>
    <row r="841" spans="10:12" x14ac:dyDescent="0.3">
      <c r="J841">
        <v>1201.5327071335407</v>
      </c>
      <c r="K841">
        <v>8250</v>
      </c>
      <c r="L841" s="5">
        <v>1053.28</v>
      </c>
    </row>
    <row r="842" spans="10:12" x14ac:dyDescent="0.3">
      <c r="J842">
        <v>1357.831910937648</v>
      </c>
      <c r="K842">
        <v>4000</v>
      </c>
      <c r="L842" s="5">
        <v>15059.55</v>
      </c>
    </row>
    <row r="843" spans="10:12" x14ac:dyDescent="0.3">
      <c r="J843">
        <v>1324.2305516548749</v>
      </c>
      <c r="K843">
        <v>2000</v>
      </c>
      <c r="L843" s="5">
        <v>11774.12</v>
      </c>
    </row>
    <row r="844" spans="10:12" x14ac:dyDescent="0.3">
      <c r="J844">
        <v>1581.0911986620395</v>
      </c>
      <c r="K844">
        <v>7750</v>
      </c>
      <c r="L844" s="5">
        <v>14248.86</v>
      </c>
    </row>
    <row r="845" spans="10:12" x14ac:dyDescent="0.3">
      <c r="J845">
        <v>2257.8253260844504</v>
      </c>
      <c r="K845">
        <v>3500</v>
      </c>
      <c r="L845" s="5">
        <v>22789.439999999999</v>
      </c>
    </row>
    <row r="846" spans="10:12" x14ac:dyDescent="0.3">
      <c r="J846">
        <v>1902.222281212755</v>
      </c>
      <c r="K846">
        <v>9500</v>
      </c>
      <c r="L846" s="5">
        <v>16727.73</v>
      </c>
    </row>
    <row r="847" spans="10:12" x14ac:dyDescent="0.3">
      <c r="J847">
        <v>948.52978929716176</v>
      </c>
      <c r="K847">
        <v>3750</v>
      </c>
      <c r="L847" s="5">
        <v>8120.74</v>
      </c>
    </row>
    <row r="848" spans="10:12" x14ac:dyDescent="0.3">
      <c r="J848">
        <v>2247.9278500326709</v>
      </c>
      <c r="K848">
        <v>6750</v>
      </c>
      <c r="L848" s="5">
        <v>29401.279999999999</v>
      </c>
    </row>
    <row r="849" spans="10:12" x14ac:dyDescent="0.3">
      <c r="J849">
        <v>1900.7056348003091</v>
      </c>
      <c r="K849">
        <v>9000</v>
      </c>
      <c r="L849" s="5">
        <v>17876.52</v>
      </c>
    </row>
    <row r="850" spans="10:12" x14ac:dyDescent="0.3">
      <c r="J850">
        <v>1801.9576968288081</v>
      </c>
      <c r="K850">
        <v>4750</v>
      </c>
      <c r="L850" s="5">
        <v>20510.13</v>
      </c>
    </row>
    <row r="851" spans="10:12" x14ac:dyDescent="0.3">
      <c r="J851">
        <v>1571.0152953402476</v>
      </c>
      <c r="K851">
        <v>4500</v>
      </c>
      <c r="L851" s="5">
        <v>17544.27</v>
      </c>
    </row>
    <row r="852" spans="10:12" x14ac:dyDescent="0.3">
      <c r="J852">
        <v>1843.3623793454474</v>
      </c>
      <c r="K852">
        <v>7500</v>
      </c>
      <c r="L852" s="5">
        <v>20236.400000000001</v>
      </c>
    </row>
    <row r="853" spans="10:12" x14ac:dyDescent="0.3">
      <c r="J853">
        <v>1219.9040452019444</v>
      </c>
      <c r="K853">
        <v>4000</v>
      </c>
      <c r="L853" s="5">
        <v>12945.63</v>
      </c>
    </row>
    <row r="854" spans="10:12" x14ac:dyDescent="0.3">
      <c r="J854">
        <v>2209.7566623478133</v>
      </c>
      <c r="K854">
        <v>2500</v>
      </c>
      <c r="L854" s="5">
        <v>6292.01</v>
      </c>
    </row>
    <row r="855" spans="10:12" x14ac:dyDescent="0.3">
      <c r="J855">
        <v>1900.1528713649868</v>
      </c>
      <c r="K855">
        <v>4000</v>
      </c>
      <c r="L855" s="5">
        <v>22576.12</v>
      </c>
    </row>
    <row r="856" spans="10:12" x14ac:dyDescent="0.3">
      <c r="J856">
        <v>2262.0915316607366</v>
      </c>
      <c r="K856">
        <v>6250</v>
      </c>
      <c r="L856" s="5">
        <v>29727.59</v>
      </c>
    </row>
    <row r="857" spans="10:12" x14ac:dyDescent="0.3">
      <c r="J857">
        <v>1720.0997481569318</v>
      </c>
      <c r="K857">
        <v>1250</v>
      </c>
      <c r="L857" s="5">
        <v>-4059.07</v>
      </c>
    </row>
    <row r="858" spans="10:12" x14ac:dyDescent="0.3">
      <c r="J858">
        <v>2264.4298963263318</v>
      </c>
      <c r="K858">
        <v>5750</v>
      </c>
      <c r="L858" s="5">
        <v>25980</v>
      </c>
    </row>
    <row r="859" spans="10:12" x14ac:dyDescent="0.3">
      <c r="J859">
        <v>1419.4961558342998</v>
      </c>
      <c r="K859">
        <v>5000</v>
      </c>
      <c r="L859" s="5">
        <v>14013.23</v>
      </c>
    </row>
    <row r="860" spans="10:12" x14ac:dyDescent="0.3">
      <c r="J860">
        <v>2163.6329011171683</v>
      </c>
      <c r="K860">
        <v>3000</v>
      </c>
      <c r="L860" s="5">
        <v>18004.98</v>
      </c>
    </row>
    <row r="861" spans="10:12" x14ac:dyDescent="0.3">
      <c r="J861">
        <v>1617.4972290351216</v>
      </c>
      <c r="K861">
        <v>6750</v>
      </c>
      <c r="L861" s="5">
        <v>17358.09</v>
      </c>
    </row>
    <row r="862" spans="10:12" x14ac:dyDescent="0.3">
      <c r="J862">
        <v>1487.4123707168251</v>
      </c>
      <c r="K862">
        <v>7500</v>
      </c>
      <c r="L862" s="5">
        <v>12910.95</v>
      </c>
    </row>
    <row r="863" spans="10:12" x14ac:dyDescent="0.3">
      <c r="J863">
        <v>1852.9837709412434</v>
      </c>
      <c r="K863">
        <v>9250</v>
      </c>
      <c r="L863" s="5">
        <v>16304.41</v>
      </c>
    </row>
    <row r="864" spans="10:12" x14ac:dyDescent="0.3">
      <c r="J864">
        <v>2060.5120647767035</v>
      </c>
      <c r="K864">
        <v>7500</v>
      </c>
      <c r="L864" s="5">
        <v>24705.34</v>
      </c>
    </row>
    <row r="865" spans="10:12" x14ac:dyDescent="0.3">
      <c r="J865">
        <v>1939.8145895472483</v>
      </c>
      <c r="K865">
        <v>5750</v>
      </c>
      <c r="L865" s="5">
        <v>21480.83</v>
      </c>
    </row>
    <row r="866" spans="10:12" x14ac:dyDescent="0.3">
      <c r="J866">
        <v>1617.6848120764894</v>
      </c>
      <c r="K866">
        <v>10000</v>
      </c>
      <c r="L866" s="5">
        <v>6357.07</v>
      </c>
    </row>
    <row r="867" spans="10:12" x14ac:dyDescent="0.3">
      <c r="J867">
        <v>2007.7773882537549</v>
      </c>
      <c r="K867">
        <v>4250</v>
      </c>
      <c r="L867" s="5">
        <v>23832.79</v>
      </c>
    </row>
    <row r="868" spans="10:12" x14ac:dyDescent="0.3">
      <c r="J868">
        <v>1917.0407077997477</v>
      </c>
      <c r="K868">
        <v>10000</v>
      </c>
      <c r="L868" s="5">
        <v>15786.78</v>
      </c>
    </row>
    <row r="869" spans="10:12" x14ac:dyDescent="0.3">
      <c r="J869">
        <v>1759.1983492943509</v>
      </c>
      <c r="K869">
        <v>4500</v>
      </c>
      <c r="L869" s="5">
        <v>20152.490000000002</v>
      </c>
    </row>
    <row r="870" spans="10:12" x14ac:dyDescent="0.3">
      <c r="J870">
        <v>2591.9509279358458</v>
      </c>
      <c r="K870">
        <v>6250</v>
      </c>
      <c r="L870" s="5">
        <v>34299.440000000002</v>
      </c>
    </row>
    <row r="871" spans="10:12" x14ac:dyDescent="0.3">
      <c r="J871">
        <v>1825.1271944979223</v>
      </c>
      <c r="K871">
        <v>5750</v>
      </c>
      <c r="L871" s="5">
        <v>19891.259999999998</v>
      </c>
    </row>
    <row r="872" spans="10:12" x14ac:dyDescent="0.3">
      <c r="J872">
        <v>2148.2029590985671</v>
      </c>
      <c r="K872">
        <v>1750</v>
      </c>
      <c r="L872" s="5">
        <v>-2623.42</v>
      </c>
    </row>
    <row r="873" spans="10:12" x14ac:dyDescent="0.3">
      <c r="J873">
        <v>1791.1814204593311</v>
      </c>
      <c r="K873">
        <v>6500</v>
      </c>
      <c r="L873" s="5">
        <v>21522.51</v>
      </c>
    </row>
    <row r="874" spans="10:12" x14ac:dyDescent="0.3">
      <c r="J874">
        <v>2111.5458530582555</v>
      </c>
      <c r="K874">
        <v>9000</v>
      </c>
      <c r="L874" s="5">
        <v>22215.61</v>
      </c>
    </row>
    <row r="875" spans="10:12" x14ac:dyDescent="0.3">
      <c r="J875">
        <v>1576.2245650266984</v>
      </c>
      <c r="K875">
        <v>9750</v>
      </c>
      <c r="L875" s="5">
        <v>6166.07</v>
      </c>
    </row>
    <row r="876" spans="10:12" x14ac:dyDescent="0.3">
      <c r="J876">
        <v>1656.9015955727243</v>
      </c>
      <c r="K876">
        <v>6000</v>
      </c>
      <c r="L876" s="5">
        <v>19939.03</v>
      </c>
    </row>
    <row r="877" spans="10:12" x14ac:dyDescent="0.3">
      <c r="J877">
        <v>1621.3013266130652</v>
      </c>
      <c r="K877">
        <v>6750</v>
      </c>
      <c r="L877" s="5">
        <v>17436.38</v>
      </c>
    </row>
    <row r="878" spans="10:12" x14ac:dyDescent="0.3">
      <c r="J878">
        <v>1909.1698637147608</v>
      </c>
      <c r="K878">
        <v>9750</v>
      </c>
      <c r="L878" s="5">
        <v>16280.72</v>
      </c>
    </row>
    <row r="879" spans="10:12" x14ac:dyDescent="0.3">
      <c r="J879">
        <v>1973.877362727465</v>
      </c>
      <c r="K879">
        <v>1250</v>
      </c>
      <c r="L879" s="5">
        <v>-5764.46</v>
      </c>
    </row>
    <row r="880" spans="10:12" x14ac:dyDescent="0.3">
      <c r="J880">
        <v>1668.0030653876936</v>
      </c>
      <c r="K880">
        <v>9000</v>
      </c>
      <c r="L880" s="5">
        <v>12402.1</v>
      </c>
    </row>
    <row r="881" spans="10:12" x14ac:dyDescent="0.3">
      <c r="J881">
        <v>2080.9433031223416</v>
      </c>
      <c r="K881">
        <v>1500</v>
      </c>
      <c r="L881" s="5">
        <v>-3858.94</v>
      </c>
    </row>
    <row r="882" spans="10:12" x14ac:dyDescent="0.3">
      <c r="J882">
        <v>1364.974870294094</v>
      </c>
      <c r="K882">
        <v>8250</v>
      </c>
      <c r="L882" s="5">
        <v>6201.71</v>
      </c>
    </row>
    <row r="883" spans="10:12" x14ac:dyDescent="0.3">
      <c r="J883">
        <v>1874.9683378516334</v>
      </c>
      <c r="K883">
        <v>1250</v>
      </c>
      <c r="L883" s="5">
        <v>-5099.79</v>
      </c>
    </row>
    <row r="884" spans="10:12" x14ac:dyDescent="0.3">
      <c r="J884">
        <v>1998.7249810935266</v>
      </c>
      <c r="K884">
        <v>7500</v>
      </c>
      <c r="L884" s="5">
        <v>23433.759999999998</v>
      </c>
    </row>
    <row r="885" spans="10:12" x14ac:dyDescent="0.3">
      <c r="J885">
        <v>1761.2796930402869</v>
      </c>
      <c r="K885">
        <v>2750</v>
      </c>
      <c r="L885" s="5">
        <v>15889.35</v>
      </c>
    </row>
    <row r="886" spans="10:12" x14ac:dyDescent="0.3">
      <c r="J886">
        <v>1566.1792645690364</v>
      </c>
      <c r="K886">
        <v>1750</v>
      </c>
      <c r="L886" s="5">
        <v>3989.94</v>
      </c>
    </row>
    <row r="887" spans="10:12" x14ac:dyDescent="0.3">
      <c r="J887">
        <v>1372.7868240379494</v>
      </c>
      <c r="K887">
        <v>2000</v>
      </c>
      <c r="L887" s="5">
        <v>12018.85</v>
      </c>
    </row>
    <row r="888" spans="10:12" x14ac:dyDescent="0.3">
      <c r="J888">
        <v>2074.9640994153997</v>
      </c>
      <c r="K888">
        <v>5250</v>
      </c>
      <c r="L888" s="5">
        <v>23824</v>
      </c>
    </row>
    <row r="889" spans="10:12" x14ac:dyDescent="0.3">
      <c r="J889">
        <v>1338.2614790160928</v>
      </c>
      <c r="K889">
        <v>4000</v>
      </c>
      <c r="L889" s="5">
        <v>14788.3</v>
      </c>
    </row>
    <row r="890" spans="10:12" x14ac:dyDescent="0.3">
      <c r="J890">
        <v>1672.7492089696593</v>
      </c>
      <c r="K890">
        <v>2250</v>
      </c>
      <c r="L890" s="5">
        <v>12432.21</v>
      </c>
    </row>
    <row r="891" spans="10:12" x14ac:dyDescent="0.3">
      <c r="J891">
        <v>1436.0349036047801</v>
      </c>
      <c r="K891">
        <v>4750</v>
      </c>
      <c r="L891" s="5">
        <v>15113.6</v>
      </c>
    </row>
    <row r="892" spans="10:12" x14ac:dyDescent="0.3">
      <c r="J892">
        <v>1379.872229135962</v>
      </c>
      <c r="K892">
        <v>9250</v>
      </c>
      <c r="L892" s="5">
        <v>2210.98</v>
      </c>
    </row>
    <row r="893" spans="10:12" x14ac:dyDescent="0.3">
      <c r="J893">
        <v>2147.0828801984912</v>
      </c>
      <c r="K893">
        <v>10000</v>
      </c>
      <c r="L893" s="5">
        <v>20586.97</v>
      </c>
    </row>
    <row r="894" spans="10:12" x14ac:dyDescent="0.3">
      <c r="J894">
        <v>1785.6156738821178</v>
      </c>
      <c r="K894">
        <v>7500</v>
      </c>
      <c r="L894" s="5">
        <v>19047.97</v>
      </c>
    </row>
    <row r="895" spans="10:12" x14ac:dyDescent="0.3">
      <c r="J895">
        <v>1620.5917410363747</v>
      </c>
      <c r="K895">
        <v>6000</v>
      </c>
      <c r="L895" s="5">
        <v>19191.78</v>
      </c>
    </row>
    <row r="896" spans="10:12" x14ac:dyDescent="0.3">
      <c r="J896">
        <v>2398.2792037283498</v>
      </c>
      <c r="K896">
        <v>8250</v>
      </c>
      <c r="L896" s="5">
        <v>29886.59</v>
      </c>
    </row>
    <row r="897" spans="10:12" x14ac:dyDescent="0.3">
      <c r="J897">
        <v>2232.377581281447</v>
      </c>
      <c r="K897">
        <v>7000</v>
      </c>
      <c r="L897" s="5">
        <v>29120.75</v>
      </c>
    </row>
    <row r="898" spans="10:12" x14ac:dyDescent="0.3">
      <c r="J898">
        <v>1879.946679119158</v>
      </c>
      <c r="K898">
        <v>9500</v>
      </c>
      <c r="L898" s="5">
        <v>16269.3</v>
      </c>
    </row>
    <row r="899" spans="10:12" x14ac:dyDescent="0.3">
      <c r="J899">
        <v>1544.8848173995204</v>
      </c>
      <c r="K899">
        <v>7500</v>
      </c>
      <c r="L899" s="5">
        <v>14093.73</v>
      </c>
    </row>
    <row r="900" spans="10:12" x14ac:dyDescent="0.3">
      <c r="J900">
        <v>1502.6422818866411</v>
      </c>
      <c r="K900">
        <v>2750</v>
      </c>
      <c r="L900" s="5">
        <v>14585.82</v>
      </c>
    </row>
    <row r="901" spans="10:12" x14ac:dyDescent="0.3">
      <c r="J901">
        <v>1539.0779020677614</v>
      </c>
      <c r="K901">
        <v>6250</v>
      </c>
      <c r="L901" s="5">
        <v>16924.22</v>
      </c>
    </row>
    <row r="902" spans="10:12" x14ac:dyDescent="0.3">
      <c r="J902">
        <v>1675.8434505488669</v>
      </c>
      <c r="K902">
        <v>3250</v>
      </c>
      <c r="L902" s="5">
        <v>16733.75</v>
      </c>
    </row>
    <row r="903" spans="10:12" x14ac:dyDescent="0.3">
      <c r="J903">
        <v>1105.0675602389529</v>
      </c>
      <c r="K903">
        <v>5000</v>
      </c>
      <c r="L903" s="5">
        <v>7542.29</v>
      </c>
    </row>
    <row r="904" spans="10:12" x14ac:dyDescent="0.3">
      <c r="J904">
        <v>1997.895711186072</v>
      </c>
      <c r="K904">
        <v>8750</v>
      </c>
      <c r="L904" s="5">
        <v>20466.689999999999</v>
      </c>
    </row>
    <row r="905" spans="10:12" x14ac:dyDescent="0.3">
      <c r="J905">
        <v>2086.6894042014956</v>
      </c>
      <c r="K905">
        <v>2500</v>
      </c>
      <c r="L905" s="5">
        <v>8928.11</v>
      </c>
    </row>
    <row r="906" spans="10:12" x14ac:dyDescent="0.3">
      <c r="J906">
        <v>1917.5831997798921</v>
      </c>
      <c r="K906">
        <v>1750</v>
      </c>
      <c r="L906" s="5">
        <v>-1073.6600000000001</v>
      </c>
    </row>
    <row r="907" spans="10:12" x14ac:dyDescent="0.3">
      <c r="J907">
        <v>1703.4898422727963</v>
      </c>
      <c r="K907">
        <v>2000</v>
      </c>
      <c r="L907" s="5">
        <v>6411.25</v>
      </c>
    </row>
    <row r="908" spans="10:12" x14ac:dyDescent="0.3">
      <c r="J908">
        <v>1677.1041198410064</v>
      </c>
      <c r="K908">
        <v>10000</v>
      </c>
      <c r="L908" s="5">
        <v>8228.7800000000007</v>
      </c>
    </row>
    <row r="909" spans="10:12" x14ac:dyDescent="0.3">
      <c r="J909">
        <v>1403.4966135913742</v>
      </c>
      <c r="K909">
        <v>2000</v>
      </c>
      <c r="L909" s="5">
        <v>12173.62</v>
      </c>
    </row>
    <row r="910" spans="10:12" x14ac:dyDescent="0.3">
      <c r="J910">
        <v>1503.0955094440455</v>
      </c>
      <c r="K910">
        <v>4000</v>
      </c>
      <c r="L910" s="5">
        <v>17072.900000000001</v>
      </c>
    </row>
    <row r="911" spans="10:12" x14ac:dyDescent="0.3">
      <c r="J911">
        <v>1820.8806237267659</v>
      </c>
      <c r="K911">
        <v>5500</v>
      </c>
      <c r="L911" s="5">
        <v>20067.41</v>
      </c>
    </row>
    <row r="912" spans="10:12" x14ac:dyDescent="0.3">
      <c r="J912">
        <v>2206.5684475540656</v>
      </c>
      <c r="K912">
        <v>2750</v>
      </c>
      <c r="L912" s="5">
        <v>11722.8</v>
      </c>
    </row>
    <row r="913" spans="10:12" x14ac:dyDescent="0.3">
      <c r="J913">
        <v>1619.9760904778484</v>
      </c>
      <c r="K913">
        <v>9250</v>
      </c>
      <c r="L913" s="5">
        <v>9774.25</v>
      </c>
    </row>
    <row r="914" spans="10:12" x14ac:dyDescent="0.3">
      <c r="J914">
        <v>2698.328874989772</v>
      </c>
      <c r="K914">
        <v>2750</v>
      </c>
      <c r="L914" s="5">
        <v>1189.3</v>
      </c>
    </row>
    <row r="915" spans="10:12" x14ac:dyDescent="0.3">
      <c r="J915">
        <v>1817.6502527829509</v>
      </c>
      <c r="K915">
        <v>9500</v>
      </c>
      <c r="L915" s="5">
        <v>14885.98</v>
      </c>
    </row>
    <row r="916" spans="10:12" x14ac:dyDescent="0.3">
      <c r="J916">
        <v>2079.7115403253888</v>
      </c>
      <c r="K916">
        <v>4500</v>
      </c>
      <c r="L916" s="5">
        <v>24594.799999999999</v>
      </c>
    </row>
    <row r="917" spans="10:12" x14ac:dyDescent="0.3">
      <c r="J917">
        <v>1450.7316203732764</v>
      </c>
      <c r="K917">
        <v>8500</v>
      </c>
      <c r="L917" s="5">
        <v>7788.05</v>
      </c>
    </row>
    <row r="918" spans="10:12" x14ac:dyDescent="0.3">
      <c r="J918">
        <v>1306.8638896559851</v>
      </c>
      <c r="K918">
        <v>4750</v>
      </c>
      <c r="L918" s="5">
        <v>12455.26</v>
      </c>
    </row>
    <row r="919" spans="10:12" x14ac:dyDescent="0.3">
      <c r="J919">
        <v>1544.7816830708823</v>
      </c>
      <c r="K919">
        <v>8750</v>
      </c>
      <c r="L919" s="5">
        <v>9635.6200000000008</v>
      </c>
    </row>
    <row r="920" spans="10:12" x14ac:dyDescent="0.3">
      <c r="J920">
        <v>1696.2406755194424</v>
      </c>
      <c r="K920">
        <v>2750</v>
      </c>
      <c r="L920" s="5">
        <v>15561.55</v>
      </c>
    </row>
    <row r="921" spans="10:12" x14ac:dyDescent="0.3">
      <c r="J921">
        <v>1187.7532089617102</v>
      </c>
      <c r="K921">
        <v>1750</v>
      </c>
      <c r="L921" s="5">
        <v>10448.780000000001</v>
      </c>
    </row>
    <row r="922" spans="10:12" x14ac:dyDescent="0.3">
      <c r="J922">
        <v>1532.0144847548449</v>
      </c>
      <c r="K922">
        <v>5750</v>
      </c>
      <c r="L922" s="5">
        <v>14048.86</v>
      </c>
    </row>
    <row r="923" spans="10:12" x14ac:dyDescent="0.3">
      <c r="J923">
        <v>1824.2645245493477</v>
      </c>
      <c r="K923">
        <v>8000</v>
      </c>
      <c r="L923" s="5">
        <v>18663.36</v>
      </c>
    </row>
    <row r="924" spans="10:12" x14ac:dyDescent="0.3">
      <c r="J924">
        <v>1753.2897510250875</v>
      </c>
      <c r="K924">
        <v>3750</v>
      </c>
      <c r="L924" s="5">
        <v>20775.599999999999</v>
      </c>
    </row>
    <row r="925" spans="10:12" x14ac:dyDescent="0.3">
      <c r="J925">
        <v>2174.5713403243317</v>
      </c>
      <c r="K925">
        <v>9250</v>
      </c>
      <c r="L925" s="5">
        <v>22922.68</v>
      </c>
    </row>
    <row r="926" spans="10:12" x14ac:dyDescent="0.3">
      <c r="J926">
        <v>1363.3582403010089</v>
      </c>
      <c r="K926">
        <v>4500</v>
      </c>
      <c r="L926" s="5">
        <v>14377.91</v>
      </c>
    </row>
    <row r="927" spans="10:12" x14ac:dyDescent="0.3">
      <c r="J927">
        <v>1775.085257564107</v>
      </c>
      <c r="K927">
        <v>5750</v>
      </c>
      <c r="L927" s="5">
        <v>19051.25</v>
      </c>
    </row>
    <row r="928" spans="10:12" x14ac:dyDescent="0.3">
      <c r="J928">
        <v>1393.2916162933802</v>
      </c>
      <c r="K928">
        <v>3750</v>
      </c>
      <c r="L928" s="5">
        <v>15786.02</v>
      </c>
    </row>
    <row r="929" spans="10:12" x14ac:dyDescent="0.3">
      <c r="J929">
        <v>1939.8954338276717</v>
      </c>
      <c r="K929">
        <v>4750</v>
      </c>
      <c r="L929" s="5">
        <v>22421.95</v>
      </c>
    </row>
    <row r="930" spans="10:12" x14ac:dyDescent="0.3">
      <c r="J930">
        <v>1973.9377556375264</v>
      </c>
      <c r="K930">
        <v>7000</v>
      </c>
      <c r="L930" s="5">
        <v>24103.64</v>
      </c>
    </row>
    <row r="931" spans="10:12" x14ac:dyDescent="0.3">
      <c r="J931">
        <v>2188.1991442147973</v>
      </c>
      <c r="K931">
        <v>3000</v>
      </c>
      <c r="L931" s="5">
        <v>17478.77</v>
      </c>
    </row>
    <row r="932" spans="10:12" x14ac:dyDescent="0.3">
      <c r="J932">
        <v>1495.5464052610632</v>
      </c>
      <c r="K932">
        <v>5250</v>
      </c>
      <c r="L932" s="5">
        <v>14818.35</v>
      </c>
    </row>
    <row r="933" spans="10:12" x14ac:dyDescent="0.3">
      <c r="J933">
        <v>2550.6296312916402</v>
      </c>
      <c r="K933">
        <v>9500</v>
      </c>
      <c r="L933" s="5">
        <v>30071.96</v>
      </c>
    </row>
    <row r="934" spans="10:12" x14ac:dyDescent="0.3">
      <c r="J934">
        <v>1657.2408540574647</v>
      </c>
      <c r="K934">
        <v>2250</v>
      </c>
      <c r="L934" s="5">
        <v>12764.4</v>
      </c>
    </row>
    <row r="935" spans="10:12" x14ac:dyDescent="0.3">
      <c r="J935">
        <v>1845.0430896509397</v>
      </c>
      <c r="K935">
        <v>5500</v>
      </c>
      <c r="L935" s="5">
        <v>20402.3</v>
      </c>
    </row>
    <row r="936" spans="10:12" x14ac:dyDescent="0.3">
      <c r="J936">
        <v>2377.3059620196723</v>
      </c>
      <c r="K936">
        <v>4000</v>
      </c>
      <c r="L936" s="5">
        <v>25021.62</v>
      </c>
    </row>
    <row r="937" spans="10:12" x14ac:dyDescent="0.3">
      <c r="J937">
        <v>1895.6143095115638</v>
      </c>
      <c r="K937">
        <v>10000</v>
      </c>
      <c r="L937" s="5">
        <v>15111.85</v>
      </c>
    </row>
    <row r="938" spans="10:12" x14ac:dyDescent="0.3">
      <c r="J938">
        <v>1141.2086542816853</v>
      </c>
      <c r="K938">
        <v>1500</v>
      </c>
      <c r="L938" s="5">
        <v>7730.31</v>
      </c>
    </row>
    <row r="939" spans="10:12" x14ac:dyDescent="0.3">
      <c r="J939">
        <v>2307.4649090174635</v>
      </c>
      <c r="K939">
        <v>10000</v>
      </c>
      <c r="L939" s="5">
        <v>23887.63</v>
      </c>
    </row>
    <row r="940" spans="10:12" x14ac:dyDescent="0.3">
      <c r="J940">
        <v>1776.585323625143</v>
      </c>
      <c r="K940">
        <v>3750</v>
      </c>
      <c r="L940" s="5">
        <v>21098.47</v>
      </c>
    </row>
    <row r="941" spans="10:12" x14ac:dyDescent="0.3">
      <c r="J941">
        <v>1836.243416281719</v>
      </c>
      <c r="K941">
        <v>6750</v>
      </c>
      <c r="L941" s="5">
        <v>21859.89</v>
      </c>
    </row>
    <row r="942" spans="10:12" x14ac:dyDescent="0.3">
      <c r="J942">
        <v>1913.8259367211908</v>
      </c>
      <c r="K942">
        <v>6000</v>
      </c>
      <c r="L942" s="5">
        <v>24965.63</v>
      </c>
    </row>
    <row r="943" spans="10:12" x14ac:dyDescent="0.3">
      <c r="J943">
        <v>1712.5638193306418</v>
      </c>
      <c r="K943">
        <v>5750</v>
      </c>
      <c r="L943" s="5">
        <v>17764.560000000001</v>
      </c>
    </row>
    <row r="944" spans="10:12" x14ac:dyDescent="0.3">
      <c r="J944">
        <v>1625.862730400507</v>
      </c>
      <c r="K944">
        <v>8750</v>
      </c>
      <c r="L944" s="5">
        <v>12189.68</v>
      </c>
    </row>
    <row r="945" spans="10:12" x14ac:dyDescent="0.3">
      <c r="J945">
        <v>2197.2338682066716</v>
      </c>
      <c r="K945">
        <v>9750</v>
      </c>
      <c r="L945" s="5">
        <v>22209.07</v>
      </c>
    </row>
    <row r="946" spans="10:12" x14ac:dyDescent="0.3">
      <c r="J946">
        <v>1766.0988684272927</v>
      </c>
      <c r="K946">
        <v>7750</v>
      </c>
      <c r="L946" s="5">
        <v>18056.310000000001</v>
      </c>
    </row>
    <row r="947" spans="10:12" x14ac:dyDescent="0.3">
      <c r="J947">
        <v>1826.1982510574294</v>
      </c>
      <c r="K947">
        <v>1500</v>
      </c>
      <c r="L947" s="5">
        <v>-2147.0500000000002</v>
      </c>
    </row>
    <row r="948" spans="10:12" x14ac:dyDescent="0.3">
      <c r="J948">
        <v>1144.4559842572532</v>
      </c>
      <c r="K948">
        <v>5000</v>
      </c>
      <c r="L948" s="5">
        <v>8352.9</v>
      </c>
    </row>
    <row r="949" spans="10:12" x14ac:dyDescent="0.3">
      <c r="J949">
        <v>1428.9088408920527</v>
      </c>
      <c r="K949">
        <v>8000</v>
      </c>
      <c r="L949" s="5">
        <v>9330.6299999999992</v>
      </c>
    </row>
    <row r="950" spans="10:12" x14ac:dyDescent="0.3">
      <c r="J950">
        <v>1230.3432541002469</v>
      </c>
      <c r="K950">
        <v>7000</v>
      </c>
      <c r="L950" s="5">
        <v>7535.81</v>
      </c>
    </row>
    <row r="951" spans="10:12" x14ac:dyDescent="0.3">
      <c r="J951">
        <v>2066.1556994286852</v>
      </c>
      <c r="K951">
        <v>3250</v>
      </c>
      <c r="L951" s="5">
        <v>18700.919999999998</v>
      </c>
    </row>
    <row r="952" spans="10:12" x14ac:dyDescent="0.3">
      <c r="J952">
        <v>1160.5380479077367</v>
      </c>
      <c r="K952">
        <v>1750</v>
      </c>
      <c r="L952" s="5">
        <v>10311.61</v>
      </c>
    </row>
    <row r="953" spans="10:12" x14ac:dyDescent="0.3">
      <c r="J953">
        <v>2047.9675122123131</v>
      </c>
      <c r="K953">
        <v>7000</v>
      </c>
      <c r="L953" s="5">
        <v>25627.17</v>
      </c>
    </row>
    <row r="954" spans="10:12" x14ac:dyDescent="0.3">
      <c r="J954">
        <v>998.29000426898654</v>
      </c>
      <c r="K954">
        <v>5000</v>
      </c>
      <c r="L954" s="5">
        <v>5344.81</v>
      </c>
    </row>
    <row r="955" spans="10:12" x14ac:dyDescent="0.3">
      <c r="J955">
        <v>1772.8628029259739</v>
      </c>
      <c r="K955">
        <v>5250</v>
      </c>
      <c r="L955" s="5">
        <v>19636.88</v>
      </c>
    </row>
    <row r="956" spans="10:12" x14ac:dyDescent="0.3">
      <c r="J956">
        <v>1869.0951177911161</v>
      </c>
      <c r="K956">
        <v>2500</v>
      </c>
      <c r="L956" s="5">
        <v>13588.98</v>
      </c>
    </row>
    <row r="957" spans="10:12" x14ac:dyDescent="0.3">
      <c r="J957">
        <v>1845.5076096912221</v>
      </c>
      <c r="K957">
        <v>8500</v>
      </c>
      <c r="L957" s="5">
        <v>17920.55</v>
      </c>
    </row>
    <row r="958" spans="10:12" x14ac:dyDescent="0.3">
      <c r="J958">
        <v>1410.8199595938074</v>
      </c>
      <c r="K958">
        <v>9250</v>
      </c>
      <c r="L958" s="5">
        <v>3185.83</v>
      </c>
    </row>
    <row r="959" spans="10:12" x14ac:dyDescent="0.3">
      <c r="J959">
        <v>2180.4662282155696</v>
      </c>
      <c r="K959">
        <v>1500</v>
      </c>
      <c r="L959" s="5">
        <v>-4527.7299999999996</v>
      </c>
    </row>
    <row r="960" spans="10:12" x14ac:dyDescent="0.3">
      <c r="J960">
        <v>1376.4831227936572</v>
      </c>
      <c r="K960">
        <v>9750</v>
      </c>
      <c r="L960" s="5">
        <v>-125.78</v>
      </c>
    </row>
    <row r="961" spans="10:12" x14ac:dyDescent="0.3">
      <c r="J961">
        <v>1622.298953762855</v>
      </c>
      <c r="K961">
        <v>6500</v>
      </c>
      <c r="L961" s="5">
        <v>18046.91</v>
      </c>
    </row>
    <row r="962" spans="10:12" x14ac:dyDescent="0.3">
      <c r="J962">
        <v>2278.0449651419613</v>
      </c>
      <c r="K962">
        <v>3500</v>
      </c>
      <c r="L962" s="5">
        <v>22891.35</v>
      </c>
    </row>
    <row r="963" spans="10:12" x14ac:dyDescent="0.3">
      <c r="J963">
        <v>2543.8707523124385</v>
      </c>
      <c r="K963">
        <v>5250</v>
      </c>
      <c r="L963" s="5">
        <v>29936.11</v>
      </c>
    </row>
    <row r="964" spans="10:12" x14ac:dyDescent="0.3">
      <c r="J964">
        <v>1569.3907463251296</v>
      </c>
      <c r="K964">
        <v>2250</v>
      </c>
      <c r="L964" s="5">
        <v>13647.23</v>
      </c>
    </row>
    <row r="965" spans="10:12" x14ac:dyDescent="0.3">
      <c r="J965">
        <v>1823.0863044686914</v>
      </c>
      <c r="K965">
        <v>6500</v>
      </c>
      <c r="L965" s="5">
        <v>22179.119999999999</v>
      </c>
    </row>
    <row r="966" spans="10:12" x14ac:dyDescent="0.3">
      <c r="J966">
        <v>1910.8071147348232</v>
      </c>
      <c r="K966">
        <v>7000</v>
      </c>
      <c r="L966" s="5">
        <v>22804.41</v>
      </c>
    </row>
    <row r="967" spans="10:12" x14ac:dyDescent="0.3">
      <c r="J967">
        <v>2071.2207597929205</v>
      </c>
      <c r="K967">
        <v>5250</v>
      </c>
      <c r="L967" s="5">
        <v>23772.12</v>
      </c>
    </row>
    <row r="968" spans="10:12" x14ac:dyDescent="0.3">
      <c r="J968">
        <v>1348.6679172696822</v>
      </c>
      <c r="K968">
        <v>9000</v>
      </c>
      <c r="L968" s="5">
        <v>2343.04</v>
      </c>
    </row>
    <row r="969" spans="10:12" x14ac:dyDescent="0.3">
      <c r="J969">
        <v>1385.2926623926217</v>
      </c>
      <c r="K969">
        <v>7750</v>
      </c>
      <c r="L969" s="5">
        <v>9071.7199999999993</v>
      </c>
    </row>
    <row r="970" spans="10:12" x14ac:dyDescent="0.3">
      <c r="J970">
        <v>1592.134686683773</v>
      </c>
      <c r="K970">
        <v>4250</v>
      </c>
      <c r="L970" s="5">
        <v>18071.990000000002</v>
      </c>
    </row>
    <row r="971" spans="10:12" x14ac:dyDescent="0.3">
      <c r="J971">
        <v>1750.8437011106025</v>
      </c>
      <c r="K971">
        <v>8500</v>
      </c>
      <c r="L971" s="5">
        <v>15972.36</v>
      </c>
    </row>
    <row r="972" spans="10:12" x14ac:dyDescent="0.3">
      <c r="J972">
        <v>1718.0960465705591</v>
      </c>
      <c r="K972">
        <v>7500</v>
      </c>
      <c r="L972" s="5">
        <v>17658.419999999998</v>
      </c>
    </row>
    <row r="973" spans="10:12" x14ac:dyDescent="0.3">
      <c r="J973">
        <v>1787.7284595918377</v>
      </c>
      <c r="K973">
        <v>9500</v>
      </c>
      <c r="L973" s="5">
        <v>13943.45</v>
      </c>
    </row>
    <row r="974" spans="10:12" x14ac:dyDescent="0.3">
      <c r="J974">
        <v>1833.883311412962</v>
      </c>
      <c r="K974">
        <v>8000</v>
      </c>
      <c r="L974" s="5">
        <v>18861.32</v>
      </c>
    </row>
    <row r="975" spans="10:12" x14ac:dyDescent="0.3">
      <c r="J975">
        <v>1874.4356624971529</v>
      </c>
      <c r="K975">
        <v>8250</v>
      </c>
      <c r="L975" s="5">
        <v>19105.89</v>
      </c>
    </row>
    <row r="976" spans="10:12" x14ac:dyDescent="0.3">
      <c r="J976">
        <v>975.36789950953596</v>
      </c>
      <c r="K976">
        <v>6000</v>
      </c>
      <c r="L976" s="5">
        <v>3964.09</v>
      </c>
    </row>
    <row r="977" spans="10:12" x14ac:dyDescent="0.3">
      <c r="J977">
        <v>2009.554104592504</v>
      </c>
      <c r="K977">
        <v>3000</v>
      </c>
      <c r="L977" s="5">
        <v>17778.150000000001</v>
      </c>
    </row>
    <row r="978" spans="10:12" x14ac:dyDescent="0.3">
      <c r="J978">
        <v>2266.0274012185805</v>
      </c>
      <c r="K978">
        <v>6250</v>
      </c>
      <c r="L978" s="5">
        <v>29782.14</v>
      </c>
    </row>
    <row r="979" spans="10:12" x14ac:dyDescent="0.3">
      <c r="J979">
        <v>1436.8021759291469</v>
      </c>
      <c r="K979">
        <v>8500</v>
      </c>
      <c r="L979" s="5">
        <v>7349.27</v>
      </c>
    </row>
    <row r="980" spans="10:12" x14ac:dyDescent="0.3">
      <c r="J980">
        <v>1690.4698945262828</v>
      </c>
      <c r="K980">
        <v>6500</v>
      </c>
      <c r="L980" s="5">
        <v>19449.87</v>
      </c>
    </row>
    <row r="981" spans="10:12" x14ac:dyDescent="0.3">
      <c r="J981">
        <v>2268.7693620239575</v>
      </c>
      <c r="K981">
        <v>7750</v>
      </c>
      <c r="L981" s="5">
        <v>28401.27</v>
      </c>
    </row>
    <row r="982" spans="10:12" x14ac:dyDescent="0.3">
      <c r="J982">
        <v>2184.7796740176891</v>
      </c>
      <c r="K982">
        <v>2500</v>
      </c>
      <c r="L982" s="5">
        <v>6827.02</v>
      </c>
    </row>
    <row r="983" spans="10:12" x14ac:dyDescent="0.3">
      <c r="J983">
        <v>2101.8136678260007</v>
      </c>
      <c r="K983">
        <v>7250</v>
      </c>
      <c r="L983" s="5">
        <v>26145.33</v>
      </c>
    </row>
    <row r="984" spans="10:12" x14ac:dyDescent="0.3">
      <c r="J984">
        <v>2002.8722288767576</v>
      </c>
      <c r="K984">
        <v>9750</v>
      </c>
      <c r="L984" s="5">
        <v>18209.11</v>
      </c>
    </row>
    <row r="985" spans="10:12" x14ac:dyDescent="0.3">
      <c r="J985">
        <v>1838.9544166968051</v>
      </c>
      <c r="K985">
        <v>7500</v>
      </c>
      <c r="L985" s="5">
        <v>20145.68</v>
      </c>
    </row>
    <row r="986" spans="10:12" x14ac:dyDescent="0.3">
      <c r="J986">
        <v>1888.7895300079122</v>
      </c>
      <c r="K986">
        <v>4750</v>
      </c>
      <c r="L986" s="5">
        <v>21713.62</v>
      </c>
    </row>
    <row r="987" spans="10:12" x14ac:dyDescent="0.3">
      <c r="J987">
        <v>1498.7965201131922</v>
      </c>
      <c r="K987">
        <v>1500</v>
      </c>
      <c r="L987" s="5">
        <v>70.78</v>
      </c>
    </row>
    <row r="988" spans="10:12" x14ac:dyDescent="0.3">
      <c r="J988">
        <v>1092.0732193211236</v>
      </c>
      <c r="K988">
        <v>8250</v>
      </c>
      <c r="L988" s="5">
        <v>-2394.69</v>
      </c>
    </row>
    <row r="989" spans="10:12" x14ac:dyDescent="0.3">
      <c r="J989">
        <v>1833.3749700156943</v>
      </c>
      <c r="K989">
        <v>8500</v>
      </c>
      <c r="L989" s="5">
        <v>17670.86</v>
      </c>
    </row>
    <row r="990" spans="10:12" x14ac:dyDescent="0.3">
      <c r="J990">
        <v>1619.6140296543379</v>
      </c>
      <c r="K990">
        <v>8000</v>
      </c>
      <c r="L990" s="5">
        <v>14451.66</v>
      </c>
    </row>
    <row r="991" spans="10:12" x14ac:dyDescent="0.3">
      <c r="J991">
        <v>1448.334562110776</v>
      </c>
      <c r="K991">
        <v>5250</v>
      </c>
      <c r="L991" s="5">
        <v>13846.73</v>
      </c>
    </row>
    <row r="992" spans="10:12" x14ac:dyDescent="0.3">
      <c r="J992">
        <v>1725.617112413777</v>
      </c>
      <c r="K992">
        <v>10000</v>
      </c>
      <c r="L992" s="5">
        <v>9756.94</v>
      </c>
    </row>
    <row r="993" spans="10:12" x14ac:dyDescent="0.3">
      <c r="J993">
        <v>1419.1115831745765</v>
      </c>
      <c r="K993">
        <v>9750</v>
      </c>
      <c r="L993" s="5">
        <v>1217.01</v>
      </c>
    </row>
    <row r="994" spans="10:12" x14ac:dyDescent="0.3">
      <c r="J994">
        <v>1691.441998603158</v>
      </c>
      <c r="K994">
        <v>10000</v>
      </c>
      <c r="L994" s="5">
        <v>8680.42</v>
      </c>
    </row>
    <row r="995" spans="10:12" x14ac:dyDescent="0.3">
      <c r="J995">
        <v>2259.2106797806955</v>
      </c>
      <c r="K995">
        <v>5750</v>
      </c>
      <c r="L995" s="5">
        <v>25907.66</v>
      </c>
    </row>
    <row r="996" spans="10:12" x14ac:dyDescent="0.3">
      <c r="J996">
        <v>1307.8304820317292</v>
      </c>
      <c r="K996">
        <v>6000</v>
      </c>
      <c r="L996" s="5">
        <v>12755.15</v>
      </c>
    </row>
    <row r="997" spans="10:12" x14ac:dyDescent="0.3">
      <c r="J997">
        <v>1438.4003695085714</v>
      </c>
      <c r="K997">
        <v>2250</v>
      </c>
      <c r="L997" s="5">
        <v>12987.04</v>
      </c>
    </row>
    <row r="998" spans="10:12" x14ac:dyDescent="0.3">
      <c r="J998">
        <v>1776.4615992666099</v>
      </c>
      <c r="K998">
        <v>9250</v>
      </c>
      <c r="L998" s="5">
        <v>14703.54</v>
      </c>
    </row>
    <row r="999" spans="10:12" x14ac:dyDescent="0.3">
      <c r="J999">
        <v>2034.1368020881207</v>
      </c>
      <c r="K999">
        <v>5000</v>
      </c>
      <c r="L999" s="5">
        <v>23493.14</v>
      </c>
    </row>
    <row r="1000" spans="10:12" x14ac:dyDescent="0.3">
      <c r="J1000">
        <v>1790.7721058880068</v>
      </c>
      <c r="K1000">
        <v>2000</v>
      </c>
      <c r="L1000" s="5">
        <v>4541.66</v>
      </c>
    </row>
    <row r="1001" spans="10:12" x14ac:dyDescent="0.3">
      <c r="J1001">
        <v>1682.6609989607671</v>
      </c>
      <c r="K1001">
        <v>3750</v>
      </c>
      <c r="L1001" s="5">
        <v>19796.68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10.36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 G</dc:creator>
  <cp:lastModifiedBy>E G</cp:lastModifiedBy>
  <dcterms:created xsi:type="dcterms:W3CDTF">2021-07-09T01:53:21Z</dcterms:created>
  <dcterms:modified xsi:type="dcterms:W3CDTF">2021-07-09T02:00:14Z</dcterms:modified>
</cp:coreProperties>
</file>